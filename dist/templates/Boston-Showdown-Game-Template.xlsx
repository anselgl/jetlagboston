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a4c3a8ab4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66087ece7c334268"/>
    <x:sheet xmlns:r="http://schemas.openxmlformats.org/officeDocument/2006/relationships" name="Ownership" sheetId="2" r:id="R8466f1229b084794"/>
    <x:sheet xmlns:r="http://schemas.openxmlformats.org/officeDocument/2006/relationships" name="Blue" sheetId="3" r:id="R19608417eb274d33"/>
    <x:sheet xmlns:r="http://schemas.openxmlformats.org/officeDocument/2006/relationships" name="Red" sheetId="4" r:id="Rc7daf07976af4152"/>
    <x:sheet xmlns:r="http://schemas.openxmlformats.org/officeDocument/2006/relationships" name="History" sheetId="5" r:id="R08c588bb672144b5"/>
    <x:sheet xmlns:r="http://schemas.openxmlformats.org/officeDocument/2006/relationships" name="Instructions" sheetId="6" r:id="R54e056f4a5a1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2E2B"/>
      </x:patternFill>
    </x:fill>
    <x:fill>
      <x:patternFill patternType="solid">
        <x:fgColor rgb="FFFFF2CC"/>
      </x:patternFill>
    </x:fill>
    <x:fill>
      <x:patternFill patternType="solid">
        <x:fgColor rgb="FFE9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2273E5"/>
      </x:font>
      <x:fill>
        <x:patternFill patternType="solid">
          <x:bgColor rgb="FFE2EDFF"/>
        </x:patternFill>
      </x:fill>
    </x:dxf>
    <x:dxf>
      <x:font>
        <x:b/>
        <x:color rgb="FFEC4F39"/>
      </x:font>
      <x:fill>
        <x:patternFill patternType="solid">
          <x:bgColor rgb="FFFFE6DF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ee19880344c0b" /><Relationship Type="http://schemas.openxmlformats.org/officeDocument/2006/relationships/theme" Target="/xl/theme/theme1.xml" Id="R85a14b8ddfae4d0b" /><Relationship Type="http://schemas.openxmlformats.org/officeDocument/2006/relationships/sharedStrings" Target="/xl/sharedStrings.xml" Id="R10bcf50b8dcd480f" /><Relationship Type="http://schemas.openxmlformats.org/officeDocument/2006/relationships/worksheet" Target="/xl/worksheets/sheet1.xml" Id="R66087ece7c334268" /><Relationship Type="http://schemas.openxmlformats.org/officeDocument/2006/relationships/worksheet" Target="/xl/worksheets/sheet2.xml" Id="R8466f1229b084794" /><Relationship Type="http://schemas.openxmlformats.org/officeDocument/2006/relationships/worksheet" Target="/xl/worksheets/sheet3.xml" Id="R19608417eb274d33" /><Relationship Type="http://schemas.openxmlformats.org/officeDocument/2006/relationships/worksheet" Target="/xl/worksheets/sheet4.xml" Id="Rc7daf07976af4152" /><Relationship Type="http://schemas.openxmlformats.org/officeDocument/2006/relationships/worksheet" Target="/xl/worksheets/sheet5.xml" Id="R08c588bb672144b5" /><Relationship Type="http://schemas.openxmlformats.org/officeDocument/2006/relationships/worksheet" Target="/xl/worksheets/sheet6.xml" Id="R54e056f4a5a1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BOSTON SHOWDOWN / GAME RECORD</x:v>
      </x:c>
      <x:c r="B2" s="2"/>
      <x:c r="C2" s="2"/>
      <x:c r="D2" s="2"/>
      <x:c r="E2" s="2"/>
      <x:c r="F2" s="2"/>
      <x:c r="G2" s="2"/>
    </x:row>
    <x:row r="3" ht="24" customHeight="1">
      <x:c r="A3" s="2" t="str">
        <x:v>Edit the yellow cells. Publish Ownership and History as CSV to connect the website.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Team</x:v>
      </x:c>
      <x:c r="B5" s="6" t="str">
        <x:v>Claimed / unlocked</x:v>
      </x:c>
      <x:c r="C5" s="6" t="str">
        <x:v>Locked</x:v>
      </x:c>
      <x:c r="D5" s="6" t="str">
        <x:v>Total territories</x:v>
      </x:c>
      <x:c r="E5" s="6" t="str">
        <x:v>Active challenges</x:v>
      </x:c>
      <x:c r="F5" s="6" t="str">
        <x:v>Challenge status</x:v>
      </x:c>
      <x:c r="G5" s="2"/>
    </x:row>
    <x:row r="6" ht="24" customHeight="1">
      <x:c r="A6" s="8" t="str">
        <x:v>Blue</x:v>
      </x:c>
      <x:c r="B6" s="10" t="n">
        <x:f>COUNTIFS('Ownership'!$E$2:$E$36,A6,'Ownership'!$D$2:$D$36,"")</x:f>
        <x:v>0</x:v>
      </x:c>
      <x:c r="C6" s="10" t="n">
        <x:f>COUNTIFS('Ownership'!$D$2:$D$36,A6)</x:f>
        <x:v>0</x:v>
      </x:c>
      <x:c r="D6" s="10" t="n">
        <x:f>SUM(B6:C6)</x:f>
        <x:v>0</x:v>
      </x:c>
      <x:c r="E6" s="10" t="n">
        <x:f>COUNTIFS('Blue'!$D$2:$D$36,"Active")</x:f>
        <x:v>0</x:v>
      </x:c>
      <x:c r="F6" s="2" t="str">
        <x:f>IF(E6&gt;1,"WARNING: multiple active challenges",IF(COUNTIFS('Blue'!$F$2:$F$36,"?*")&gt;0,"Fix team-tab entries",IF(E6=1,"One challenge active","No active challenge")))</x:f>
        <x:v>No active challenge</x:v>
      </x:c>
      <x:c r="G6" s="2"/>
    </x:row>
    <x:row r="7" ht="24" customHeight="1">
      <x:c r="A7" s="9" t="str">
        <x:v>Red</x:v>
      </x:c>
      <x:c r="B7" s="10" t="n">
        <x:f>COUNTIFS('Ownership'!$E$2:$E$36,A7,'Ownership'!$D$2:$D$36,"")</x:f>
        <x:v>0</x:v>
      </x:c>
      <x:c r="C7" s="10" t="n">
        <x:f>COUNTIFS('Ownership'!$D$2:$D$36,A7)</x:f>
        <x:v>0</x:v>
      </x:c>
      <x:c r="D7" s="10" t="n">
        <x:f>SUM(B7:C7)</x:f>
        <x:v>0</x:v>
      </x:c>
      <x:c r="E7" s="10" t="n">
        <x:f>COUNTIFS('Red'!$D$2:$D$36,"Active")</x:f>
        <x:v>0</x:v>
      </x:c>
      <x:c r="F7" s="2" t="str">
        <x:f>IF(E7&gt;1,"WARNING: multiple active challenges",IF(COUNTIFS('Red'!$F$2:$F$36,"?*")&gt;0,"Fix team-tab entries",IF(E7=1,"One challenge active","No active challenge")))</x:f>
        <x:v>No active challenge</x:v>
      </x:c>
      <x:c r="G7" s="2"/>
    </x:row>
    <x:row r="8" ht="24" customHeight="1">
      <x:c r="A8" s="2"/>
      <x:c r="B8" s="10"/>
      <x:c r="C8" s="10"/>
      <x:c r="D8" s="10"/>
      <x:c r="E8" s="10"/>
      <x:c r="F8" s="2"/>
      <x:c r="G8" s="2"/>
    </x:row>
    <x:row r="9" ht="24" customHeight="1">
      <x:c r="A9" s="2" t="str">
        <x:v>Unclaimed territories</x:v>
      </x:c>
      <x:c r="B9" s="10"/>
      <x:c r="C9" s="10"/>
      <x:c r="D9" s="10" t="n">
        <x:f>ROWS('Ownership'!$A$2:$A$36)-SUM(D6:D7)</x:f>
        <x:v>35</x:v>
      </x:c>
      <x:c r="E9" s="10"/>
      <x:c r="F9" s="2"/>
      <x:c r="G9" s="2"/>
    </x:row>
    <x:row r="10" ht="24" customHeight="1">
      <x:c r="A10" s="2"/>
      <x:c r="B10" s="2"/>
      <x:c r="C10" s="2"/>
      <x:c r="D10" s="2"/>
      <x:c r="E10" s="2"/>
      <x:c r="F10" s="2"/>
      <x:c r="G10" s="2"/>
    </x:row>
    <x:row r="11" ht="24" customHeight="1">
      <x:c r="A11" s="7" t="str">
        <x:v>How to record a capture</x:v>
      </x:c>
      <x:c r="B11" s="2"/>
      <x:c r="C11" s="2"/>
      <x:c r="D11" s="2"/>
      <x:c r="E11" s="2"/>
      <x:c r="F11" s="2"/>
      <x:c r="G11" s="2"/>
    </x:row>
    <x:row r="12" ht="24" customHeight="1">
      <x:c r="A12" s="2" t="str">
        <x:v>1. Reach a public outdoor location inside the territory, after leaving transit.</x:v>
      </x:c>
      <x:c r="B12" s="2"/>
      <x:c r="C12" s="2"/>
      <x:c r="D12" s="2"/>
      <x:c r="E12" s="2"/>
      <x:c r="F12" s="2"/>
      <x:c r="G12" s="2"/>
    </x:row>
    <x:row r="13" ht="24" customHeight="1">
      <x:c r="A13" s="2" t="str">
        <x:v>2. Enter the first team in Ownership → claimed_by.</x:v>
      </x:c>
      <x:c r="B13" s="2"/>
      <x:c r="C13" s="2"/>
      <x:c r="D13" s="2"/>
      <x:c r="E13" s="2"/>
      <x:c r="F13" s="2"/>
      <x:c r="G13" s="2"/>
    </x:row>
    <x:row r="14" ht="24" customHeight="1">
      <x:c r="A14" s="2" t="str">
        <x:v>3. Record a new reveal number and Active status in your team tab when opening a card.</x:v>
      </x:c>
      <x:c r="B14" s="2"/>
      <x:c r="C14" s="2"/>
      <x:c r="D14" s="2"/>
      <x:c r="E14" s="2"/>
      <x:c r="F14" s="2"/>
      <x:c r="G14" s="2"/>
    </x:row>
    <x:row r="15" ht="24" customHeight="1">
      <x:c r="A15" s="2" t="str">
        <x:v>4. Finish or abandon your active card before opening another. Keep old reveal numbers.</x:v>
      </x:c>
      <x:c r="B15" s="2"/>
      <x:c r="C15" s="2"/>
      <x:c r="D15" s="2"/>
      <x:c r="E15" s="2"/>
      <x:c r="F15" s="2"/>
      <x:c r="G15" s="2"/>
    </x:row>
    <x:row r="16" ht="24" customHeight="1">
      <x:c r="A16" s="2" t="str">
        <x:v>5. Complete a challenge to lock or steal: enter the completing team in locked_by.</x:v>
      </x:c>
      <x:c r="B16" s="2"/>
      <x:c r="C16" s="2"/>
      <x:c r="D16" s="2"/>
      <x:c r="E16" s="2"/>
      <x:c r="F16" s="2"/>
      <x:c r="G16" s="2"/>
    </x:row>
    <x:row r="17" ht="24" customHeight="1">
      <x:c r="A17" s="2"/>
      <x:c r="B17" s="2"/>
      <x:c r="C17" s="2"/>
      <x:c r="D17" s="2"/>
      <x:c r="E17" s="2"/>
      <x:c r="F17" s="2"/>
      <x:c r="G17" s="2"/>
    </x:row>
    <x:row r="18" ht="24" customHeight="1">
      <x:c r="A18" s="2" t="str">
        <x:v>Blank template: no claims, locks, or challenge attempts are entered.</x:v>
      </x:c>
      <x:c r="B18" s="2"/>
      <x:c r="C18" s="2"/>
      <x:c r="D18" s="2"/>
      <x:c r="E18" s="2"/>
      <x:c r="F18" s="2"/>
      <x:c r="G18" s="2"/>
    </x:row>
    <x:row r="19" ht="24" customHeight="1">
      <x:c r="A19" s="2" t="str">
        <x:v>Territory counts are shown; final game scoring is not yet defined.</x:v>
      </x:c>
      <x:c r="B19" s="2"/>
      <x:c r="C19" s="2"/>
      <x:c r="D19" s="2"/>
      <x:c r="E19" s="2"/>
      <x:c r="F19" s="2"/>
      <x:c r="G19" s="2"/>
    </x:row>
    <x:row r="20" ht="24" customHeight="1">
      <x:c r="A20" s="2" t="str">
        <x:v>Blue / Red are the team IDs used by the website. Keep them unchanged for now.</x:v>
      </x:c>
      <x:c r="B20" s="2"/>
      <x:c r="C20" s="2"/>
      <x:c r="D20" s="2"/>
      <x:c r="E20" s="2"/>
      <x:c r="F20" s="2"/>
      <x:c r="G20" s="2"/>
    </x:row>
    <x:row r="21" ht="24" customHeight="1">
      <x:c r="A21" s="2"/>
      <x:c r="B21" s="2"/>
      <x:c r="C21" s="2"/>
      <x:c r="D21" s="2"/>
      <x:c r="E21" s="2"/>
      <x:c r="F21" s="2"/>
      <x:c r="G21" s="2"/>
    </x:row>
  </x:sheetData>
  <x:conditionalFormatting sqref="F6:F7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.8799991607666" hidden="0" customWidth="1"/>
    <x:col min="2" max="2" width="29.3799991607666" hidden="0" customWidth="1"/>
    <x:col min="3" max="3" width="16.25" hidden="0" customWidth="1"/>
    <x:col min="4" max="4" width="16.25" hidden="0" customWidth="1"/>
    <x:col min="5" max="5" width="17.5" hidden="0" customWidth="1"/>
    <x:col min="6" max="6" width="16.25" hidden="0" customWidth="1"/>
  </x:cols>
  <x:sheetData>
    <x:row r="1" ht="30" customHeight="1">
      <x:c r="A1" s="6" t="str">
        <x:v>territory_id</x:v>
      </x:c>
      <x:c r="B1" s="6" t="str">
        <x:v>territory</x:v>
      </x:c>
      <x:c r="C1" s="6" t="str">
        <x:v>claimed_by</x:v>
      </x:c>
      <x:c r="D1" s="6" t="str">
        <x:v>locked_by</x:v>
      </x:c>
      <x:c r="E1" s="6" t="str">
        <x:v>current_owner</x:v>
      </x:c>
      <x:c r="F1" s="6" t="str">
        <x:v>state</x:v>
      </x:c>
    </x:row>
    <x:row r="2" ht="24" customHeight="1">
      <x:c r="A2" s="2" t="str">
        <x:v>allston</x:v>
      </x:c>
      <x:c r="B2" s="2" t="str">
        <x:v>Allston</x:v>
      </x:c>
      <x:c r="C2" s="11"/>
      <x:c r="D2" s="11"/>
      <x:c r="E2" s="12" t="str">
        <x:f>IF(D2&lt;&gt;"",D2,IF(C2&lt;&gt;"",C2,""))</x:f>
      </x:c>
      <x:c r="F2" s="12" t="str">
        <x:f>IF(D2&lt;&gt;"","Locked",IF(C2&lt;&gt;"","Claimed","Unclaimed"))</x:f>
        <x:v>Unclaimed</x:v>
      </x:c>
    </x:row>
    <x:row r="3" ht="24" customHeight="1">
      <x:c r="A3" s="2" t="str">
        <x:v>back-bay</x:v>
      </x:c>
      <x:c r="B3" s="2" t="str">
        <x:v>Back Bay</x:v>
      </x:c>
      <x:c r="C3" s="11"/>
      <x:c r="D3" s="11"/>
      <x:c r="E3" s="12" t="str">
        <x:f>IF(D3&lt;&gt;"",D3,IF(C3&lt;&gt;"",C3,""))</x:f>
      </x:c>
      <x:c r="F3" s="12" t="str">
        <x:f>IF(D3&lt;&gt;"","Locked",IF(C3&lt;&gt;"","Claimed","Unclaimed"))</x:f>
        <x:v>Unclaimed</x:v>
      </x:c>
    </x:row>
    <x:row r="4" ht="24" customHeight="1">
      <x:c r="A4" s="2" t="str">
        <x:v>bay-village</x:v>
      </x:c>
      <x:c r="B4" s="2" t="str">
        <x:v>Bay Village</x:v>
      </x:c>
      <x:c r="C4" s="11"/>
      <x:c r="D4" s="11"/>
      <x:c r="E4" s="12" t="str">
        <x:f>IF(D4&lt;&gt;"",D4,IF(C4&lt;&gt;"",C4,""))</x:f>
      </x:c>
      <x:c r="F4" s="12" t="str">
        <x:f>IF(D4&lt;&gt;"","Locked",IF(C4&lt;&gt;"","Claimed","Unclaimed"))</x:f>
        <x:v>Unclaimed</x:v>
      </x:c>
    </x:row>
    <x:row r="5" ht="24" customHeight="1">
      <x:c r="A5" s="2" t="str">
        <x:v>beacon-hill</x:v>
      </x:c>
      <x:c r="B5" s="2" t="str">
        <x:v>Beacon Hill</x:v>
      </x:c>
      <x:c r="C5" s="11"/>
      <x:c r="D5" s="11"/>
      <x:c r="E5" s="12" t="str">
        <x:f>IF(D5&lt;&gt;"",D5,IF(C5&lt;&gt;"",C5,""))</x:f>
      </x:c>
      <x:c r="F5" s="12" t="str">
        <x:f>IF(D5&lt;&gt;"","Locked",IF(C5&lt;&gt;"","Claimed","Unclaimed"))</x:f>
        <x:v>Unclaimed</x:v>
      </x:c>
    </x:row>
    <x:row r="6" ht="24" customHeight="1">
      <x:c r="A6" s="2" t="str">
        <x:v>brighton</x:v>
      </x:c>
      <x:c r="B6" s="2" t="str">
        <x:v>Brighton</x:v>
      </x:c>
      <x:c r="C6" s="11"/>
      <x:c r="D6" s="11"/>
      <x:c r="E6" s="12" t="str">
        <x:f>IF(D6&lt;&gt;"",D6,IF(C6&lt;&gt;"",C6,""))</x:f>
      </x:c>
      <x:c r="F6" s="12" t="str">
        <x:f>IF(D6&lt;&gt;"","Locked",IF(C6&lt;&gt;"","Claimed","Unclaimed"))</x:f>
        <x:v>Unclaimed</x:v>
      </x:c>
    </x:row>
    <x:row r="7" ht="24" customHeight="1">
      <x:c r="A7" s="2" t="str">
        <x:v>charlestown</x:v>
      </x:c>
      <x:c r="B7" s="2" t="str">
        <x:v>Charlestown</x:v>
      </x:c>
      <x:c r="C7" s="11"/>
      <x:c r="D7" s="11"/>
      <x:c r="E7" s="12" t="str">
        <x:f>IF(D7&lt;&gt;"",D7,IF(C7&lt;&gt;"",C7,""))</x:f>
      </x:c>
      <x:c r="F7" s="12" t="str">
        <x:f>IF(D7&lt;&gt;"","Locked",IF(C7&lt;&gt;"","Claimed","Unclaimed"))</x:f>
        <x:v>Unclaimed</x:v>
      </x:c>
    </x:row>
    <x:row r="8" ht="24" customHeight="1">
      <x:c r="A8" s="2" t="str">
        <x:v>chinatown-leather-district</x:v>
      </x:c>
      <x:c r="B8" s="2" t="str">
        <x:v>Chinatown–Leather District</x:v>
      </x:c>
      <x:c r="C8" s="11"/>
      <x:c r="D8" s="11"/>
      <x:c r="E8" s="12" t="str">
        <x:f>IF(D8&lt;&gt;"",D8,IF(C8&lt;&gt;"",C8,""))</x:f>
      </x:c>
      <x:c r="F8" s="12" t="str">
        <x:f>IF(D8&lt;&gt;"","Locked",IF(C8&lt;&gt;"","Claimed","Unclaimed"))</x:f>
        <x:v>Unclaimed</x:v>
      </x:c>
    </x:row>
    <x:row r="9" ht="24" customHeight="1">
      <x:c r="A9" s="2" t="str">
        <x:v>dorchester</x:v>
      </x:c>
      <x:c r="B9" s="2" t="str">
        <x:v>Dorchester</x:v>
      </x:c>
      <x:c r="C9" s="11"/>
      <x:c r="D9" s="11"/>
      <x:c r="E9" s="12" t="str">
        <x:f>IF(D9&lt;&gt;"",D9,IF(C9&lt;&gt;"",C9,""))</x:f>
      </x:c>
      <x:c r="F9" s="12" t="str">
        <x:f>IF(D9&lt;&gt;"","Locked",IF(C9&lt;&gt;"","Claimed","Unclaimed"))</x:f>
        <x:v>Unclaimed</x:v>
      </x:c>
    </x:row>
    <x:row r="10" ht="24" customHeight="1">
      <x:c r="A10" s="2" t="str">
        <x:v>downtown</x:v>
      </x:c>
      <x:c r="B10" s="2" t="str">
        <x:v>Downtown</x:v>
      </x:c>
      <x:c r="C10" s="11"/>
      <x:c r="D10" s="11"/>
      <x:c r="E10" s="12" t="str">
        <x:f>IF(D10&lt;&gt;"",D10,IF(C10&lt;&gt;"",C10,""))</x:f>
      </x:c>
      <x:c r="F10" s="12" t="str">
        <x:f>IF(D10&lt;&gt;"","Locked",IF(C10&lt;&gt;"","Claimed","Unclaimed"))</x:f>
        <x:v>Unclaimed</x:v>
      </x:c>
    </x:row>
    <x:row r="11" ht="24" customHeight="1">
      <x:c r="A11" s="2" t="str">
        <x:v>east-boston</x:v>
      </x:c>
      <x:c r="B11" s="2" t="str">
        <x:v>East Boston</x:v>
      </x:c>
      <x:c r="C11" s="11"/>
      <x:c r="D11" s="11"/>
      <x:c r="E11" s="12" t="str">
        <x:f>IF(D11&lt;&gt;"",D11,IF(C11&lt;&gt;"",C11,""))</x:f>
      </x:c>
      <x:c r="F11" s="12" t="str">
        <x:f>IF(D11&lt;&gt;"","Locked",IF(C11&lt;&gt;"","Claimed","Unclaimed"))</x:f>
        <x:v>Unclaimed</x:v>
      </x:c>
    </x:row>
    <x:row r="12" ht="24" customHeight="1">
      <x:c r="A12" s="2" t="str">
        <x:v>fenway-kenmore</x:v>
      </x:c>
      <x:c r="B12" s="2" t="str">
        <x:v>Fenway–Kenmore</x:v>
      </x:c>
      <x:c r="C12" s="11"/>
      <x:c r="D12" s="11"/>
      <x:c r="E12" s="12" t="str">
        <x:f>IF(D12&lt;&gt;"",D12,IF(C12&lt;&gt;"",C12,""))</x:f>
      </x:c>
      <x:c r="F12" s="12" t="str">
        <x:f>IF(D12&lt;&gt;"","Locked",IF(C12&lt;&gt;"","Claimed","Unclaimed"))</x:f>
        <x:v>Unclaimed</x:v>
      </x:c>
    </x:row>
    <x:row r="13" ht="24" customHeight="1">
      <x:c r="A13" s="2" t="str">
        <x:v>hyde-park</x:v>
      </x:c>
      <x:c r="B13" s="2" t="str">
        <x:v>Hyde Park</x:v>
      </x:c>
      <x:c r="C13" s="11"/>
      <x:c r="D13" s="11"/>
      <x:c r="E13" s="12" t="str">
        <x:f>IF(D13&lt;&gt;"",D13,IF(C13&lt;&gt;"",C13,""))</x:f>
      </x:c>
      <x:c r="F13" s="12" t="str">
        <x:f>IF(D13&lt;&gt;"","Locked",IF(C13&lt;&gt;"","Claimed","Unclaimed"))</x:f>
        <x:v>Unclaimed</x:v>
      </x:c>
    </x:row>
    <x:row r="14" ht="24" customHeight="1">
      <x:c r="A14" s="2" t="str">
        <x:v>jamaica-plain</x:v>
      </x:c>
      <x:c r="B14" s="2" t="str">
        <x:v>Jamaica Plain</x:v>
      </x:c>
      <x:c r="C14" s="11"/>
      <x:c r="D14" s="11"/>
      <x:c r="E14" s="12" t="str">
        <x:f>IF(D14&lt;&gt;"",D14,IF(C14&lt;&gt;"",C14,""))</x:f>
      </x:c>
      <x:c r="F14" s="12" t="str">
        <x:f>IF(D14&lt;&gt;"","Locked",IF(C14&lt;&gt;"","Claimed","Unclaimed"))</x:f>
        <x:v>Unclaimed</x:v>
      </x:c>
    </x:row>
    <x:row r="15" ht="24" customHeight="1">
      <x:c r="A15" s="2" t="str">
        <x:v>mattapan</x:v>
      </x:c>
      <x:c r="B15" s="2" t="str">
        <x:v>Mattapan</x:v>
      </x:c>
      <x:c r="C15" s="11"/>
      <x:c r="D15" s="11"/>
      <x:c r="E15" s="12" t="str">
        <x:f>IF(D15&lt;&gt;"",D15,IF(C15&lt;&gt;"",C15,""))</x:f>
      </x:c>
      <x:c r="F15" s="12" t="str">
        <x:f>IF(D15&lt;&gt;"","Locked",IF(C15&lt;&gt;"","Claimed","Unclaimed"))</x:f>
        <x:v>Unclaimed</x:v>
      </x:c>
    </x:row>
    <x:row r="16" ht="24" customHeight="1">
      <x:c r="A16" s="2" t="str">
        <x:v>mission-hill</x:v>
      </x:c>
      <x:c r="B16" s="2" t="str">
        <x:v>Mission Hill</x:v>
      </x:c>
      <x:c r="C16" s="11"/>
      <x:c r="D16" s="11"/>
      <x:c r="E16" s="12" t="str">
        <x:f>IF(D16&lt;&gt;"",D16,IF(C16&lt;&gt;"",C16,""))</x:f>
      </x:c>
      <x:c r="F16" s="12" t="str">
        <x:f>IF(D16&lt;&gt;"","Locked",IF(C16&lt;&gt;"","Claimed","Unclaimed"))</x:f>
        <x:v>Unclaimed</x:v>
      </x:c>
    </x:row>
    <x:row r="17" ht="24" customHeight="1">
      <x:c r="A17" s="2" t="str">
        <x:v>north-end</x:v>
      </x:c>
      <x:c r="B17" s="2" t="str">
        <x:v>North End</x:v>
      </x:c>
      <x:c r="C17" s="11"/>
      <x:c r="D17" s="11"/>
      <x:c r="E17" s="12" t="str">
        <x:f>IF(D17&lt;&gt;"",D17,IF(C17&lt;&gt;"",C17,""))</x:f>
      </x:c>
      <x:c r="F17" s="12" t="str">
        <x:f>IF(D17&lt;&gt;"","Locked",IF(C17&lt;&gt;"","Claimed","Unclaimed"))</x:f>
        <x:v>Unclaimed</x:v>
      </x:c>
    </x:row>
    <x:row r="18" ht="24" customHeight="1">
      <x:c r="A18" s="2" t="str">
        <x:v>roslindale</x:v>
      </x:c>
      <x:c r="B18" s="2" t="str">
        <x:v>Roslindale</x:v>
      </x:c>
      <x:c r="C18" s="11"/>
      <x:c r="D18" s="11"/>
      <x:c r="E18" s="12" t="str">
        <x:f>IF(D18&lt;&gt;"",D18,IF(C18&lt;&gt;"",C18,""))</x:f>
      </x:c>
      <x:c r="F18" s="12" t="str">
        <x:f>IF(D18&lt;&gt;"","Locked",IF(C18&lt;&gt;"","Claimed","Unclaimed"))</x:f>
        <x:v>Unclaimed</x:v>
      </x:c>
    </x:row>
    <x:row r="19" ht="24" customHeight="1">
      <x:c r="A19" s="2" t="str">
        <x:v>roxbury</x:v>
      </x:c>
      <x:c r="B19" s="2" t="str">
        <x:v>Roxbury</x:v>
      </x:c>
      <x:c r="C19" s="11"/>
      <x:c r="D19" s="11"/>
      <x:c r="E19" s="12" t="str">
        <x:f>IF(D19&lt;&gt;"",D19,IF(C19&lt;&gt;"",C19,""))</x:f>
      </x:c>
      <x:c r="F19" s="12" t="str">
        <x:f>IF(D19&lt;&gt;"","Locked",IF(C19&lt;&gt;"","Claimed","Unclaimed"))</x:f>
        <x:v>Unclaimed</x:v>
      </x:c>
    </x:row>
    <x:row r="20" ht="24" customHeight="1">
      <x:c r="A20" s="2" t="str">
        <x:v>south-boston</x:v>
      </x:c>
      <x:c r="B20" s="2" t="str">
        <x:v>South Boston</x:v>
      </x:c>
      <x:c r="C20" s="11"/>
      <x:c r="D20" s="11"/>
      <x:c r="E20" s="12" t="str">
        <x:f>IF(D20&lt;&gt;"",D20,IF(C20&lt;&gt;"",C20,""))</x:f>
      </x:c>
      <x:c r="F20" s="12" t="str">
        <x:f>IF(D20&lt;&gt;"","Locked",IF(C20&lt;&gt;"","Claimed","Unclaimed"))</x:f>
        <x:v>Unclaimed</x:v>
      </x:c>
    </x:row>
    <x:row r="21" ht="24" customHeight="1">
      <x:c r="A21" s="2" t="str">
        <x:v>south-end</x:v>
      </x:c>
      <x:c r="B21" s="2" t="str">
        <x:v>South End</x:v>
      </x:c>
      <x:c r="C21" s="11"/>
      <x:c r="D21" s="11"/>
      <x:c r="E21" s="12" t="str">
        <x:f>IF(D21&lt;&gt;"",D21,IF(C21&lt;&gt;"",C21,""))</x:f>
      </x:c>
      <x:c r="F21" s="12" t="str">
        <x:f>IF(D21&lt;&gt;"","Locked",IF(C21&lt;&gt;"","Claimed","Unclaimed"))</x:f>
        <x:v>Unclaimed</x:v>
      </x:c>
    </x:row>
    <x:row r="22" ht="24" customHeight="1">
      <x:c r="A22" s="2" t="str">
        <x:v>west-end</x:v>
      </x:c>
      <x:c r="B22" s="2" t="str">
        <x:v>West End</x:v>
      </x:c>
      <x:c r="C22" s="11"/>
      <x:c r="D22" s="11"/>
      <x:c r="E22" s="12" t="str">
        <x:f>IF(D22&lt;&gt;"",D22,IF(C22&lt;&gt;"",C22,""))</x:f>
      </x:c>
      <x:c r="F22" s="12" t="str">
        <x:f>IF(D22&lt;&gt;"","Locked",IF(C22&lt;&gt;"","Claimed","Unclaimed"))</x:f>
        <x:v>Unclaimed</x:v>
      </x:c>
    </x:row>
    <x:row r="23" ht="24" customHeight="1">
      <x:c r="A23" s="2" t="str">
        <x:v>west-roxbury</x:v>
      </x:c>
      <x:c r="B23" s="2" t="str">
        <x:v>West Roxbury</x:v>
      </x:c>
      <x:c r="C23" s="11"/>
      <x:c r="D23" s="11"/>
      <x:c r="E23" s="12" t="str">
        <x:f>IF(D23&lt;&gt;"",D23,IF(C23&lt;&gt;"",C23,""))</x:f>
      </x:c>
      <x:c r="F23" s="12" t="str">
        <x:f>IF(D23&lt;&gt;"","Locked",IF(C23&lt;&gt;"","Claimed","Unclaimed"))</x:f>
        <x:v>Unclaimed</x:v>
      </x:c>
    </x:row>
    <x:row r="24" ht="24" customHeight="1">
      <x:c r="A24" s="2" t="str">
        <x:v>seaport</x:v>
      </x:c>
      <x:c r="B24" s="2" t="str">
        <x:v>Seaport</x:v>
      </x:c>
      <x:c r="C24" s="11"/>
      <x:c r="D24" s="11"/>
      <x:c r="E24" s="12" t="str">
        <x:f>IF(D24&lt;&gt;"",D24,IF(C24&lt;&gt;"",C24,""))</x:f>
      </x:c>
      <x:c r="F24" s="12" t="str">
        <x:f>IF(D24&lt;&gt;"","Locked",IF(C24&lt;&gt;"","Claimed","Unclaimed"))</x:f>
        <x:v>Unclaimed</x:v>
      </x:c>
    </x:row>
    <x:row r="25" ht="24" customHeight="1">
      <x:c r="A25" s="2" t="str">
        <x:v>cambridge</x:v>
      </x:c>
      <x:c r="B25" s="2" t="str">
        <x:v>Cambridge</x:v>
      </x:c>
      <x:c r="C25" s="11"/>
      <x:c r="D25" s="11"/>
      <x:c r="E25" s="12" t="str">
        <x:f>IF(D25&lt;&gt;"",D25,IF(C25&lt;&gt;"",C25,""))</x:f>
      </x:c>
      <x:c r="F25" s="12" t="str">
        <x:f>IF(D25&lt;&gt;"","Locked",IF(C25&lt;&gt;"","Claimed","Unclaimed"))</x:f>
        <x:v>Unclaimed</x:v>
      </x:c>
    </x:row>
    <x:row r="26" ht="24" customHeight="1">
      <x:c r="A26" s="2" t="str">
        <x:v>somerville</x:v>
      </x:c>
      <x:c r="B26" s="2" t="str">
        <x:v>Somerville</x:v>
      </x:c>
      <x:c r="C26" s="11"/>
      <x:c r="D26" s="11"/>
      <x:c r="E26" s="12" t="str">
        <x:f>IF(D26&lt;&gt;"",D26,IF(C26&lt;&gt;"",C26,""))</x:f>
      </x:c>
      <x:c r="F26" s="12" t="str">
        <x:f>IF(D26&lt;&gt;"","Locked",IF(C26&lt;&gt;"","Claimed","Unclaimed"))</x:f>
        <x:v>Unclaimed</x:v>
      </x:c>
    </x:row>
    <x:row r="27" ht="24" customHeight="1">
      <x:c r="A27" s="2" t="str">
        <x:v>everett</x:v>
      </x:c>
      <x:c r="B27" s="2" t="str">
        <x:v>Everett</x:v>
      </x:c>
      <x:c r="C27" s="11"/>
      <x:c r="D27" s="11"/>
      <x:c r="E27" s="12" t="str">
        <x:f>IF(D27&lt;&gt;"",D27,IF(C27&lt;&gt;"",C27,""))</x:f>
      </x:c>
      <x:c r="F27" s="12" t="str">
        <x:f>IF(D27&lt;&gt;"","Locked",IF(C27&lt;&gt;"","Claimed","Unclaimed"))</x:f>
        <x:v>Unclaimed</x:v>
      </x:c>
    </x:row>
    <x:row r="28" ht="24" customHeight="1">
      <x:c r="A28" s="2" t="str">
        <x:v>chelsea</x:v>
      </x:c>
      <x:c r="B28" s="2" t="str">
        <x:v>Chelsea</x:v>
      </x:c>
      <x:c r="C28" s="11"/>
      <x:c r="D28" s="11"/>
      <x:c r="E28" s="12" t="str">
        <x:f>IF(D28&lt;&gt;"",D28,IF(C28&lt;&gt;"",C28,""))</x:f>
      </x:c>
      <x:c r="F28" s="12" t="str">
        <x:f>IF(D28&lt;&gt;"","Locked",IF(C28&lt;&gt;"","Claimed","Unclaimed"))</x:f>
        <x:v>Unclaimed</x:v>
      </x:c>
    </x:row>
    <x:row r="29" ht="24" customHeight="1">
      <x:c r="A29" s="2" t="str">
        <x:v>revere</x:v>
      </x:c>
      <x:c r="B29" s="2" t="str">
        <x:v>Revere</x:v>
      </x:c>
      <x:c r="C29" s="11"/>
      <x:c r="D29" s="11"/>
      <x:c r="E29" s="12" t="str">
        <x:f>IF(D29&lt;&gt;"",D29,IF(C29&lt;&gt;"",C29,""))</x:f>
      </x:c>
      <x:c r="F29" s="12" t="str">
        <x:f>IF(D29&lt;&gt;"","Locked",IF(C29&lt;&gt;"","Claimed","Unclaimed"))</x:f>
        <x:v>Unclaimed</x:v>
      </x:c>
    </x:row>
    <x:row r="30" ht="24" customHeight="1">
      <x:c r="A30" s="2" t="str">
        <x:v>malden</x:v>
      </x:c>
      <x:c r="B30" s="2" t="str">
        <x:v>Malden</x:v>
      </x:c>
      <x:c r="C30" s="11"/>
      <x:c r="D30" s="11"/>
      <x:c r="E30" s="12" t="str">
        <x:f>IF(D30&lt;&gt;"",D30,IF(C30&lt;&gt;"",C30,""))</x:f>
      </x:c>
      <x:c r="F30" s="12" t="str">
        <x:f>IF(D30&lt;&gt;"","Locked",IF(C30&lt;&gt;"","Claimed","Unclaimed"))</x:f>
        <x:v>Unclaimed</x:v>
      </x:c>
    </x:row>
    <x:row r="31" ht="24" customHeight="1">
      <x:c r="A31" s="2" t="str">
        <x:v>medford</x:v>
      </x:c>
      <x:c r="B31" s="2" t="str">
        <x:v>Medford</x:v>
      </x:c>
      <x:c r="C31" s="11"/>
      <x:c r="D31" s="11"/>
      <x:c r="E31" s="12" t="str">
        <x:f>IF(D31&lt;&gt;"",D31,IF(C31&lt;&gt;"",C31,""))</x:f>
      </x:c>
      <x:c r="F31" s="12" t="str">
        <x:f>IF(D31&lt;&gt;"","Locked",IF(C31&lt;&gt;"","Claimed","Unclaimed"))</x:f>
        <x:v>Unclaimed</x:v>
      </x:c>
    </x:row>
    <x:row r="32" ht="24" customHeight="1">
      <x:c r="A32" s="2" t="str">
        <x:v>brookline</x:v>
      </x:c>
      <x:c r="B32" s="2" t="str">
        <x:v>Brookline</x:v>
      </x:c>
      <x:c r="C32" s="11"/>
      <x:c r="D32" s="11"/>
      <x:c r="E32" s="12" t="str">
        <x:f>IF(D32&lt;&gt;"",D32,IF(C32&lt;&gt;"",C32,""))</x:f>
      </x:c>
      <x:c r="F32" s="12" t="str">
        <x:f>IF(D32&lt;&gt;"","Locked",IF(C32&lt;&gt;"","Claimed","Unclaimed"))</x:f>
        <x:v>Unclaimed</x:v>
      </x:c>
    </x:row>
    <x:row r="33" ht="24" customHeight="1">
      <x:c r="A33" s="2" t="str">
        <x:v>newton</x:v>
      </x:c>
      <x:c r="B33" s="2" t="str">
        <x:v>Newton</x:v>
      </x:c>
      <x:c r="C33" s="11"/>
      <x:c r="D33" s="11"/>
      <x:c r="E33" s="12" t="str">
        <x:f>IF(D33&lt;&gt;"",D33,IF(C33&lt;&gt;"",C33,""))</x:f>
      </x:c>
      <x:c r="F33" s="12" t="str">
        <x:f>IF(D33&lt;&gt;"","Locked",IF(C33&lt;&gt;"","Claimed","Unclaimed"))</x:f>
        <x:v>Unclaimed</x:v>
      </x:c>
    </x:row>
    <x:row r="34" ht="24" customHeight="1">
      <x:c r="A34" s="2" t="str">
        <x:v>quincy</x:v>
      </x:c>
      <x:c r="B34" s="2" t="str">
        <x:v>Quincy</x:v>
      </x:c>
      <x:c r="C34" s="11"/>
      <x:c r="D34" s="11"/>
      <x:c r="E34" s="12" t="str">
        <x:f>IF(D34&lt;&gt;"",D34,IF(C34&lt;&gt;"",C34,""))</x:f>
      </x:c>
      <x:c r="F34" s="12" t="str">
        <x:f>IF(D34&lt;&gt;"","Locked",IF(C34&lt;&gt;"","Claimed","Unclaimed"))</x:f>
        <x:v>Unclaimed</x:v>
      </x:c>
    </x:row>
    <x:row r="35" ht="24" customHeight="1">
      <x:c r="A35" s="2" t="str">
        <x:v>braintree</x:v>
      </x:c>
      <x:c r="B35" s="2" t="str">
        <x:v>Braintree</x:v>
      </x:c>
      <x:c r="C35" s="11"/>
      <x:c r="D35" s="11"/>
      <x:c r="E35" s="12" t="str">
        <x:f>IF(D35&lt;&gt;"",D35,IF(C35&lt;&gt;"",C35,""))</x:f>
      </x:c>
      <x:c r="F35" s="12" t="str">
        <x:f>IF(D35&lt;&gt;"","Locked",IF(C35&lt;&gt;"","Claimed","Unclaimed"))</x:f>
        <x:v>Unclaimed</x:v>
      </x:c>
    </x:row>
    <x:row r="36" ht="24" customHeight="1">
      <x:c r="A36" s="2" t="str">
        <x:v>winthrop</x:v>
      </x:c>
      <x:c r="B36" s="2" t="str">
        <x:v>Winthrop</x:v>
      </x:c>
      <x:c r="C36" s="11"/>
      <x:c r="D36" s="11"/>
      <x:c r="E36" s="12" t="str">
        <x:f>IF(D36&lt;&gt;"",D36,IF(C36&lt;&gt;"",C36,""))</x:f>
      </x:c>
      <x:c r="F36" s="12" t="str">
        <x:f>IF(D36&lt;&gt;"","Locked",IF(C36&lt;&gt;"","Claimed","Unclaimed"))</x:f>
        <x:v>Unclaimed</x:v>
      </x:c>
    </x:row>
  </x:sheetData>
  <x:conditionalFormatting sqref="E2:E36">
    <x:cfRule type="cellIs" dxfId="2" priority="1" operator="equal">
      <x:formula>"Blue"</x:formula>
    </x:cfRule>
    <x:cfRule type="cellIs" dxfId="3" priority="2" operator="equal">
      <x:formula>"Red"</x:formula>
    </x:cfRule>
  </x:conditionalFormatting>
  <x:dataValidations count="1">
    <x:dataValidation type="list" sqref="C2:D36">
      <x:formula1>"Blue,Red"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6" t="str">
        <x:v>team</x:v>
      </x:c>
      <x:c r="B1" s="6" t="str">
        <x:v>territory_id</x:v>
      </x:c>
      <x:c r="C1" s="6" t="str">
        <x:v>reveal_order</x:v>
      </x:c>
      <x:c r="D1" s="6" t="str">
        <x:v>status</x:v>
      </x:c>
      <x:c r="E1" s="6" t="str">
        <x:v>territory</x:v>
      </x:c>
      <x:c r="F1" s="6" t="str">
        <x:v>entry_warning</x:v>
      </x:c>
      <x:c r="G1" s="6" t="str">
        <x:v>retry_guidance</x:v>
      </x:c>
      <x:c r="H1" s="2"/>
      <x:c r="I1" s="7" t="str">
        <x:v>BLUE TEAM / CURRENT CHALLENGE</x:v>
      </x:c>
      <x:c r="J1" s="2"/>
    </x:row>
    <x:row r="2" ht="24" customHeight="1">
      <x:c r="A2" s="2" t="str">
        <x:v>Blue</x:v>
      </x:c>
      <x:c r="B2" s="2" t="str">
        <x:v>allston</x:v>
      </x:c>
      <x:c r="C2" s="13"/>
      <x:c r="D2" s="11" t="str">
        <x:v>Not opened</x:v>
      </x:c>
      <x:c r="E2" s="2" t="str">
        <x:v>Allston</x:v>
      </x:c>
      <x:c r="F2" s="12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12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2"/>
      <x:c r="I2" s="2" t="str">
        <x:f>IF(COUNTIFS($D$2:$D$36,"Active")&gt;1,"WARNING: multiple active challenges",IF(COUNTIFS($D$2:$D$36,"Active")=1,"One active challenge","No active challenge"))</x:f>
        <x:v>No active challenge</x:v>
      </x:c>
      <x:c r="J2" s="2"/>
    </x:row>
    <x:row r="3" ht="24" customHeight="1">
      <x:c r="A3" s="2" t="str">
        <x:v>Blue</x:v>
      </x:c>
      <x:c r="B3" s="2" t="str">
        <x:v>back-bay</x:v>
      </x:c>
      <x:c r="C3" s="13"/>
      <x:c r="D3" s="11" t="str">
        <x:v>Not opened</x:v>
      </x:c>
      <x:c r="E3" s="2" t="str">
        <x:v>Back Bay</x:v>
      </x:c>
      <x:c r="F3" s="12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12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2"/>
      <x:c r="I3" s="2"/>
      <x:c r="J3" s="2"/>
    </x:row>
    <x:row r="4" ht="24" customHeight="1">
      <x:c r="A4" s="2" t="str">
        <x:v>Blue</x:v>
      </x:c>
      <x:c r="B4" s="2" t="str">
        <x:v>bay-village</x:v>
      </x:c>
      <x:c r="C4" s="13"/>
      <x:c r="D4" s="11" t="str">
        <x:v>Not opened</x:v>
      </x:c>
      <x:c r="E4" s="2" t="str">
        <x:v>Bay Village</x:v>
      </x:c>
      <x:c r="F4" s="12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12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2"/>
      <x:c r="I4" s="2" t="str">
        <x:v>Next reveal number</x:v>
      </x:c>
      <x:c r="J4" s="10" t="n">
        <x:f>MAX($C$2:$C$36)+1</x:f>
        <x:v>1</x:v>
      </x:c>
    </x:row>
    <x:row r="5" ht="24" customHeight="1">
      <x:c r="A5" s="2" t="str">
        <x:v>Blue</x:v>
      </x:c>
      <x:c r="B5" s="2" t="str">
        <x:v>beacon-hill</x:v>
      </x:c>
      <x:c r="C5" s="13"/>
      <x:c r="D5" s="11" t="str">
        <x:v>Not opened</x:v>
      </x:c>
      <x:c r="E5" s="2" t="str">
        <x:v>Beacon Hill</x:v>
      </x:c>
      <x:c r="F5" s="12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12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2"/>
      <x:c r="I5" s="2"/>
      <x:c r="J5" s="2"/>
    </x:row>
    <x:row r="6" ht="24" customHeight="1">
      <x:c r="A6" s="2" t="str">
        <x:v>Blue</x:v>
      </x:c>
      <x:c r="B6" s="2" t="str">
        <x:v>brighton</x:v>
      </x:c>
      <x:c r="C6" s="13"/>
      <x:c r="D6" s="11" t="str">
        <x:v>Not opened</x:v>
      </x:c>
      <x:c r="E6" s="2" t="str">
        <x:v>Brighton</x:v>
      </x:c>
      <x:c r="F6" s="12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12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2"/>
      <x:c r="I6" s="2" t="str">
        <x:v>Edit only reveal_order and status.</x:v>
      </x:c>
      <x:c r="J6" s="2"/>
    </x:row>
    <x:row r="7" ht="24" customHeight="1">
      <x:c r="A7" s="2" t="str">
        <x:v>Blue</x:v>
      </x:c>
      <x:c r="B7" s="2" t="str">
        <x:v>charlestown</x:v>
      </x:c>
      <x:c r="C7" s="13"/>
      <x:c r="D7" s="11" t="str">
        <x:v>Not opened</x:v>
      </x:c>
      <x:c r="E7" s="2" t="str">
        <x:v>Charlestown</x:v>
      </x:c>
      <x:c r="F7" s="12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12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2"/>
      <x:c r="I7" s="2" t="str">
        <x:v>Keep the reveal number when retrying.</x:v>
      </x:c>
      <x:c r="J7" s="2"/>
    </x:row>
    <x:row r="8" ht="24" customHeight="1">
      <x:c r="A8" s="2" t="str">
        <x:v>Blue</x:v>
      </x:c>
      <x:c r="B8" s="2" t="str">
        <x:v>chinatown-leather-district</x:v>
      </x:c>
      <x:c r="C8" s="13"/>
      <x:c r="D8" s="11" t="str">
        <x:v>Not opened</x:v>
      </x:c>
      <x:c r="E8" s="2" t="str">
        <x:v>Chinatown–Leather District</x:v>
      </x:c>
      <x:c r="F8" s="12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12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2"/>
      <x:c r="I8" s="2" t="str">
        <x:v>Resolve this card before opening another.</x:v>
      </x:c>
      <x:c r="J8" s="2"/>
    </x:row>
    <x:row r="9" ht="24" customHeight="1">
      <x:c r="A9" s="2" t="str">
        <x:v>Blue</x:v>
      </x:c>
      <x:c r="B9" s="2" t="str">
        <x:v>dorchester</x:v>
      </x:c>
      <x:c r="C9" s="13"/>
      <x:c r="D9" s="11" t="str">
        <x:v>Not opened</x:v>
      </x:c>
      <x:c r="E9" s="2" t="str">
        <x:v>Dorchester</x:v>
      </x:c>
      <x:c r="F9" s="12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12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2"/>
      <x:c r="I9" s="2" t="str">
        <x:v>An older card cannot be retried after a newer reveal.</x:v>
      </x:c>
      <x:c r="J9" s="2"/>
    </x:row>
    <x:row r="10" ht="24" customHeight="1">
      <x:c r="A10" s="2" t="str">
        <x:v>Blue</x:v>
      </x:c>
      <x:c r="B10" s="2" t="str">
        <x:v>downtown</x:v>
      </x:c>
      <x:c r="C10" s="13"/>
      <x:c r="D10" s="11" t="str">
        <x:v>Not opened</x:v>
      </x:c>
      <x:c r="E10" s="2" t="str">
        <x:v>Downtown</x:v>
      </x:c>
      <x:c r="F10" s="12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12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2"/>
      <x:c r="I10" s="2" t="str">
        <x:v>Whether a card allows retries is written on that card.</x:v>
      </x:c>
      <x:c r="J10" s="2"/>
    </x:row>
    <x:row r="11" ht="24" customHeight="1">
      <x:c r="A11" s="2" t="str">
        <x:v>Blue</x:v>
      </x:c>
      <x:c r="B11" s="2" t="str">
        <x:v>east-boston</x:v>
      </x:c>
      <x:c r="C11" s="13"/>
      <x:c r="D11" s="11" t="str">
        <x:v>Not opened</x:v>
      </x:c>
      <x:c r="E11" s="2" t="str">
        <x:v>East Boston</x:v>
      </x:c>
      <x:c r="F11" s="12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12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2"/>
      <x:c r="I11" s="2"/>
      <x:c r="J11" s="2"/>
    </x:row>
    <x:row r="12" ht="24" customHeight="1">
      <x:c r="A12" s="2" t="str">
        <x:v>Blue</x:v>
      </x:c>
      <x:c r="B12" s="2" t="str">
        <x:v>fenway-kenmore</x:v>
      </x:c>
      <x:c r="C12" s="13"/>
      <x:c r="D12" s="11" t="str">
        <x:v>Not opened</x:v>
      </x:c>
      <x:c r="E12" s="2" t="str">
        <x:v>Fenway–Kenmore</x:v>
      </x:c>
      <x:c r="F12" s="12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12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2"/>
      <x:c r="I12" s="2"/>
      <x:c r="J12" s="2"/>
    </x:row>
    <x:row r="13" ht="24" customHeight="1">
      <x:c r="A13" s="2" t="str">
        <x:v>Blue</x:v>
      </x:c>
      <x:c r="B13" s="2" t="str">
        <x:v>hyde-park</x:v>
      </x:c>
      <x:c r="C13" s="13"/>
      <x:c r="D13" s="11" t="str">
        <x:v>Not opened</x:v>
      </x:c>
      <x:c r="E13" s="2" t="str">
        <x:v>Hyde Park</x:v>
      </x:c>
      <x:c r="F13" s="12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12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2"/>
      <x:c r="I13" s="2"/>
      <x:c r="J13" s="2"/>
    </x:row>
    <x:row r="14" ht="24" customHeight="1">
      <x:c r="A14" s="2" t="str">
        <x:v>Blue</x:v>
      </x:c>
      <x:c r="B14" s="2" t="str">
        <x:v>jamaica-plain</x:v>
      </x:c>
      <x:c r="C14" s="13"/>
      <x:c r="D14" s="11" t="str">
        <x:v>Not opened</x:v>
      </x:c>
      <x:c r="E14" s="2" t="str">
        <x:v>Jamaica Plain</x:v>
      </x:c>
      <x:c r="F14" s="12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12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2"/>
      <x:c r="I14" s="2"/>
      <x:c r="J14" s="2"/>
    </x:row>
    <x:row r="15" ht="24" customHeight="1">
      <x:c r="A15" s="2" t="str">
        <x:v>Blue</x:v>
      </x:c>
      <x:c r="B15" s="2" t="str">
        <x:v>mattapan</x:v>
      </x:c>
      <x:c r="C15" s="13"/>
      <x:c r="D15" s="11" t="str">
        <x:v>Not opened</x:v>
      </x:c>
      <x:c r="E15" s="2" t="str">
        <x:v>Mattapan</x:v>
      </x:c>
      <x:c r="F15" s="12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12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2"/>
      <x:c r="I15" s="2"/>
      <x:c r="J15" s="2"/>
    </x:row>
    <x:row r="16" ht="24" customHeight="1">
      <x:c r="A16" s="2" t="str">
        <x:v>Blue</x:v>
      </x:c>
      <x:c r="B16" s="2" t="str">
        <x:v>mission-hill</x:v>
      </x:c>
      <x:c r="C16" s="13"/>
      <x:c r="D16" s="11" t="str">
        <x:v>Not opened</x:v>
      </x:c>
      <x:c r="E16" s="2" t="str">
        <x:v>Mission Hill</x:v>
      </x:c>
      <x:c r="F16" s="12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12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2"/>
      <x:c r="I16" s="2"/>
      <x:c r="J16" s="2"/>
    </x:row>
    <x:row r="17" ht="24" customHeight="1">
      <x:c r="A17" s="2" t="str">
        <x:v>Blue</x:v>
      </x:c>
      <x:c r="B17" s="2" t="str">
        <x:v>north-end</x:v>
      </x:c>
      <x:c r="C17" s="13"/>
      <x:c r="D17" s="11" t="str">
        <x:v>Not opened</x:v>
      </x:c>
      <x:c r="E17" s="2" t="str">
        <x:v>North End</x:v>
      </x:c>
      <x:c r="F17" s="12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12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2"/>
      <x:c r="I17" s="2"/>
      <x:c r="J17" s="2"/>
    </x:row>
    <x:row r="18" ht="24" customHeight="1">
      <x:c r="A18" s="2" t="str">
        <x:v>Blue</x:v>
      </x:c>
      <x:c r="B18" s="2" t="str">
        <x:v>roslindale</x:v>
      </x:c>
      <x:c r="C18" s="13"/>
      <x:c r="D18" s="11" t="str">
        <x:v>Not opened</x:v>
      </x:c>
      <x:c r="E18" s="2" t="str">
        <x:v>Roslindale</x:v>
      </x:c>
      <x:c r="F18" s="12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12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2"/>
      <x:c r="I18" s="2"/>
      <x:c r="J18" s="2"/>
    </x:row>
    <x:row r="19" ht="24" customHeight="1">
      <x:c r="A19" s="2" t="str">
        <x:v>Blue</x:v>
      </x:c>
      <x:c r="B19" s="2" t="str">
        <x:v>roxbury</x:v>
      </x:c>
      <x:c r="C19" s="13"/>
      <x:c r="D19" s="11" t="str">
        <x:v>Not opened</x:v>
      </x:c>
      <x:c r="E19" s="2" t="str">
        <x:v>Roxbury</x:v>
      </x:c>
      <x:c r="F19" s="12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12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2"/>
      <x:c r="I19" s="2"/>
      <x:c r="J19" s="2"/>
    </x:row>
    <x:row r="20" ht="24" customHeight="1">
      <x:c r="A20" s="2" t="str">
        <x:v>Blue</x:v>
      </x:c>
      <x:c r="B20" s="2" t="str">
        <x:v>south-boston</x:v>
      </x:c>
      <x:c r="C20" s="13"/>
      <x:c r="D20" s="11" t="str">
        <x:v>Not opened</x:v>
      </x:c>
      <x:c r="E20" s="2" t="str">
        <x:v>South Boston</x:v>
      </x:c>
      <x:c r="F20" s="12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12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2"/>
      <x:c r="I20" s="2"/>
      <x:c r="J20" s="2"/>
    </x:row>
    <x:row r="21" ht="24" customHeight="1">
      <x:c r="A21" s="2" t="str">
        <x:v>Blue</x:v>
      </x:c>
      <x:c r="B21" s="2" t="str">
        <x:v>south-end</x:v>
      </x:c>
      <x:c r="C21" s="13"/>
      <x:c r="D21" s="11" t="str">
        <x:v>Not opened</x:v>
      </x:c>
      <x:c r="E21" s="2" t="str">
        <x:v>South End</x:v>
      </x:c>
      <x:c r="F21" s="12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12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2"/>
      <x:c r="I21" s="2"/>
      <x:c r="J21" s="2"/>
    </x:row>
    <x:row r="22" ht="24" customHeight="1">
      <x:c r="A22" s="2" t="str">
        <x:v>Blue</x:v>
      </x:c>
      <x:c r="B22" s="2" t="str">
        <x:v>west-end</x:v>
      </x:c>
      <x:c r="C22" s="13"/>
      <x:c r="D22" s="11" t="str">
        <x:v>Not opened</x:v>
      </x:c>
      <x:c r="E22" s="2" t="str">
        <x:v>West End</x:v>
      </x:c>
      <x:c r="F22" s="12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12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2"/>
      <x:c r="I22" s="2"/>
      <x:c r="J22" s="2"/>
    </x:row>
    <x:row r="23" ht="24" customHeight="1">
      <x:c r="A23" s="2" t="str">
        <x:v>Blue</x:v>
      </x:c>
      <x:c r="B23" s="2" t="str">
        <x:v>west-roxbury</x:v>
      </x:c>
      <x:c r="C23" s="13"/>
      <x:c r="D23" s="11" t="str">
        <x:v>Not opened</x:v>
      </x:c>
      <x:c r="E23" s="2" t="str">
        <x:v>West Roxbury</x:v>
      </x:c>
      <x:c r="F23" s="12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12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2"/>
      <x:c r="I23" s="2"/>
      <x:c r="J23" s="2"/>
    </x:row>
    <x:row r="24" ht="24" customHeight="1">
      <x:c r="A24" s="2" t="str">
        <x:v>Blue</x:v>
      </x:c>
      <x:c r="B24" s="2" t="str">
        <x:v>seaport</x:v>
      </x:c>
      <x:c r="C24" s="13"/>
      <x:c r="D24" s="11" t="str">
        <x:v>Not opened</x:v>
      </x:c>
      <x:c r="E24" s="2" t="str">
        <x:v>Seaport</x:v>
      </x:c>
      <x:c r="F24" s="12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12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2"/>
      <x:c r="I24" s="2"/>
      <x:c r="J24" s="2"/>
    </x:row>
    <x:row r="25" ht="24" customHeight="1">
      <x:c r="A25" s="2" t="str">
        <x:v>Blue</x:v>
      </x:c>
      <x:c r="B25" s="2" t="str">
        <x:v>cambridge</x:v>
      </x:c>
      <x:c r="C25" s="13"/>
      <x:c r="D25" s="11" t="str">
        <x:v>Not opened</x:v>
      </x:c>
      <x:c r="E25" s="2" t="str">
        <x:v>Cambridge</x:v>
      </x:c>
      <x:c r="F25" s="12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12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2"/>
      <x:c r="I25" s="2"/>
      <x:c r="J25" s="2"/>
    </x:row>
    <x:row r="26" ht="24" customHeight="1">
      <x:c r="A26" s="2" t="str">
        <x:v>Blue</x:v>
      </x:c>
      <x:c r="B26" s="2" t="str">
        <x:v>somerville</x:v>
      </x:c>
      <x:c r="C26" s="13"/>
      <x:c r="D26" s="11" t="str">
        <x:v>Not opened</x:v>
      </x:c>
      <x:c r="E26" s="2" t="str">
        <x:v>Somerville</x:v>
      </x:c>
      <x:c r="F26" s="12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12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2"/>
      <x:c r="I26" s="2"/>
      <x:c r="J26" s="2"/>
    </x:row>
    <x:row r="27" ht="24" customHeight="1">
      <x:c r="A27" s="2" t="str">
        <x:v>Blue</x:v>
      </x:c>
      <x:c r="B27" s="2" t="str">
        <x:v>everett</x:v>
      </x:c>
      <x:c r="C27" s="13"/>
      <x:c r="D27" s="11" t="str">
        <x:v>Not opened</x:v>
      </x:c>
      <x:c r="E27" s="2" t="str">
        <x:v>Everett</x:v>
      </x:c>
      <x:c r="F27" s="12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12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2"/>
      <x:c r="I27" s="2"/>
      <x:c r="J27" s="2"/>
    </x:row>
    <x:row r="28" ht="24" customHeight="1">
      <x:c r="A28" s="2" t="str">
        <x:v>Blue</x:v>
      </x:c>
      <x:c r="B28" s="2" t="str">
        <x:v>chelsea</x:v>
      </x:c>
      <x:c r="C28" s="13"/>
      <x:c r="D28" s="11" t="str">
        <x:v>Not opened</x:v>
      </x:c>
      <x:c r="E28" s="2" t="str">
        <x:v>Chelsea</x:v>
      </x:c>
      <x:c r="F28" s="12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12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2"/>
      <x:c r="I28" s="2"/>
      <x:c r="J28" s="2"/>
    </x:row>
    <x:row r="29" ht="24" customHeight="1">
      <x:c r="A29" s="2" t="str">
        <x:v>Blue</x:v>
      </x:c>
      <x:c r="B29" s="2" t="str">
        <x:v>revere</x:v>
      </x:c>
      <x:c r="C29" s="13"/>
      <x:c r="D29" s="11" t="str">
        <x:v>Not opened</x:v>
      </x:c>
      <x:c r="E29" s="2" t="str">
        <x:v>Revere</x:v>
      </x:c>
      <x:c r="F29" s="12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12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2"/>
      <x:c r="I29" s="2"/>
      <x:c r="J29" s="2"/>
    </x:row>
    <x:row r="30" ht="24" customHeight="1">
      <x:c r="A30" s="2" t="str">
        <x:v>Blue</x:v>
      </x:c>
      <x:c r="B30" s="2" t="str">
        <x:v>malden</x:v>
      </x:c>
      <x:c r="C30" s="13"/>
      <x:c r="D30" s="11" t="str">
        <x:v>Not opened</x:v>
      </x:c>
      <x:c r="E30" s="2" t="str">
        <x:v>Malden</x:v>
      </x:c>
      <x:c r="F30" s="12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12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2"/>
      <x:c r="I30" s="2"/>
      <x:c r="J30" s="2"/>
    </x:row>
    <x:row r="31" ht="24" customHeight="1">
      <x:c r="A31" s="2" t="str">
        <x:v>Blue</x:v>
      </x:c>
      <x:c r="B31" s="2" t="str">
        <x:v>medford</x:v>
      </x:c>
      <x:c r="C31" s="13"/>
      <x:c r="D31" s="11" t="str">
        <x:v>Not opened</x:v>
      </x:c>
      <x:c r="E31" s="2" t="str">
        <x:v>Medford</x:v>
      </x:c>
      <x:c r="F31" s="12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12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2"/>
      <x:c r="I31" s="2"/>
      <x:c r="J31" s="2"/>
    </x:row>
    <x:row r="32" ht="24" customHeight="1">
      <x:c r="A32" s="2" t="str">
        <x:v>Blue</x:v>
      </x:c>
      <x:c r="B32" s="2" t="str">
        <x:v>brookline</x:v>
      </x:c>
      <x:c r="C32" s="13"/>
      <x:c r="D32" s="11" t="str">
        <x:v>Not opened</x:v>
      </x:c>
      <x:c r="E32" s="2" t="str">
        <x:v>Brookline</x:v>
      </x:c>
      <x:c r="F32" s="12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12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2"/>
      <x:c r="I32" s="2"/>
      <x:c r="J32" s="2"/>
    </x:row>
    <x:row r="33" ht="24" customHeight="1">
      <x:c r="A33" s="2" t="str">
        <x:v>Blue</x:v>
      </x:c>
      <x:c r="B33" s="2" t="str">
        <x:v>newton</x:v>
      </x:c>
      <x:c r="C33" s="13"/>
      <x:c r="D33" s="11" t="str">
        <x:v>Not opened</x:v>
      </x:c>
      <x:c r="E33" s="2" t="str">
        <x:v>Newton</x:v>
      </x:c>
      <x:c r="F33" s="12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12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2"/>
      <x:c r="I33" s="2"/>
      <x:c r="J33" s="2"/>
    </x:row>
    <x:row r="34" ht="24" customHeight="1">
      <x:c r="A34" s="2" t="str">
        <x:v>Blue</x:v>
      </x:c>
      <x:c r="B34" s="2" t="str">
        <x:v>quincy</x:v>
      </x:c>
      <x:c r="C34" s="13"/>
      <x:c r="D34" s="11" t="str">
        <x:v>Not opened</x:v>
      </x:c>
      <x:c r="E34" s="2" t="str">
        <x:v>Quincy</x:v>
      </x:c>
      <x:c r="F34" s="12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12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2"/>
      <x:c r="I34" s="2"/>
      <x:c r="J34" s="2"/>
    </x:row>
    <x:row r="35" ht="24" customHeight="1">
      <x:c r="A35" s="2" t="str">
        <x:v>Blue</x:v>
      </x:c>
      <x:c r="B35" s="2" t="str">
        <x:v>braintree</x:v>
      </x:c>
      <x:c r="C35" s="13"/>
      <x:c r="D35" s="11" t="str">
        <x:v>Not opened</x:v>
      </x:c>
      <x:c r="E35" s="2" t="str">
        <x:v>Braintree</x:v>
      </x:c>
      <x:c r="F35" s="12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12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2"/>
      <x:c r="I35" s="2"/>
      <x:c r="J35" s="2"/>
    </x:row>
    <x:row r="36" ht="24" customHeight="1">
      <x:c r="A36" s="2" t="str">
        <x:v>Blue</x:v>
      </x:c>
      <x:c r="B36" s="2" t="str">
        <x:v>winthrop</x:v>
      </x:c>
      <x:c r="C36" s="13"/>
      <x:c r="D36" s="11" t="str">
        <x:v>Not opened</x:v>
      </x:c>
      <x:c r="E36" s="2" t="str">
        <x:v>Winthrop</x:v>
      </x:c>
      <x:c r="F36" s="12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12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2"/>
      <x:c r="I36" s="2"/>
      <x:c r="J36" s="2"/>
    </x:row>
  </x:sheetData>
  <x:conditionalFormatting sqref="F2:F36">
    <x:cfRule type="expression" dxfId="4" priority="1">
      <x:formula>LEN(F2)&gt;0</x:formula>
    </x:cfRule>
  </x:conditionalFormatting>
  <x:conditionalFormatting sqref="D2:D36">
    <x:cfRule type="cellIs" dxfId="5" priority="2" operator="equal">
      <x:formula>"Active"</x:formula>
    </x:cfRule>
    <x:cfRule type="cellIs" dxfId="6" priority="3" operator="equal">
      <x:formula>"Failed"</x:formula>
    </x:cfRule>
    <x:cfRule type="cellIs" dxfId="7" priority="4" operator="equal">
      <x:formula>"Succeeded"</x:formula>
    </x:cfRule>
  </x:conditionalFormatting>
  <x:conditionalFormatting sqref="G2:G36">
    <x:cfRule type="containsText" dxfId="8" priority="5" operator="containsText" text="No retry"/>
  </x:conditionalFormatting>
  <x:conditionalFormatting sqref="I2:I2">
    <x:cfRule type="containsText" dxfId="9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6" t="str">
        <x:v>team</x:v>
      </x:c>
      <x:c r="B1" s="6" t="str">
        <x:v>territory_id</x:v>
      </x:c>
      <x:c r="C1" s="6" t="str">
        <x:v>reveal_order</x:v>
      </x:c>
      <x:c r="D1" s="6" t="str">
        <x:v>status</x:v>
      </x:c>
      <x:c r="E1" s="6" t="str">
        <x:v>territory</x:v>
      </x:c>
      <x:c r="F1" s="6" t="str">
        <x:v>entry_warning</x:v>
      </x:c>
      <x:c r="G1" s="6" t="str">
        <x:v>retry_guidance</x:v>
      </x:c>
      <x:c r="H1" s="2"/>
      <x:c r="I1" s="7" t="str">
        <x:v>RED TEAM / CURRENT CHALLENGE</x:v>
      </x:c>
      <x:c r="J1" s="2"/>
    </x:row>
    <x:row r="2" ht="24" customHeight="1">
      <x:c r="A2" s="2" t="str">
        <x:v>Red</x:v>
      </x:c>
      <x:c r="B2" s="2" t="str">
        <x:v>allston</x:v>
      </x:c>
      <x:c r="C2" s="13"/>
      <x:c r="D2" s="11" t="str">
        <x:v>Not opened</x:v>
      </x:c>
      <x:c r="E2" s="2" t="str">
        <x:v>Allston</x:v>
      </x:c>
      <x:c r="F2" s="12" t="str">
        <x:f>IF(D2="Not opened",IF(C2&lt;&gt;"","Clear reveal number",""),IF(C2="","Enter reveal number",IF(COUNTIFS($C$2:$C$36,C2)&gt;1,"Duplicate reveal number",IF(AND(D2="Active",COUNTIFS($D$2:$D$36,"Active")&gt;1),"Resolve other active challenge",""))))</x:f>
      </x:c>
      <x:c r="G2" s="12" t="str">
        <x:f>IF(D2="Not opened","Not revealed",IF(C2="","Enter reveal number",IF(OR(D2="Failed",D2="Abandoned"),IF(MAX($C$2:$C$36)&gt;C2,"No retry: newer card opened","Check card retry rule"),IF(D2="Succeeded","Completed","Work on this card"))))</x:f>
        <x:v>Not revealed</x:v>
      </x:c>
      <x:c r="H2" s="2"/>
      <x:c r="I2" s="2" t="str">
        <x:f>IF(COUNTIFS($D$2:$D$36,"Active")&gt;1,"WARNING: multiple active challenges",IF(COUNTIFS($D$2:$D$36,"Active")=1,"One active challenge","No active challenge"))</x:f>
        <x:v>No active challenge</x:v>
      </x:c>
      <x:c r="J2" s="2"/>
    </x:row>
    <x:row r="3" ht="24" customHeight="1">
      <x:c r="A3" s="2" t="str">
        <x:v>Red</x:v>
      </x:c>
      <x:c r="B3" s="2" t="str">
        <x:v>back-bay</x:v>
      </x:c>
      <x:c r="C3" s="13"/>
      <x:c r="D3" s="11" t="str">
        <x:v>Not opened</x:v>
      </x:c>
      <x:c r="E3" s="2" t="str">
        <x:v>Back Bay</x:v>
      </x:c>
      <x:c r="F3" s="12" t="str">
        <x:f>IF(D3="Not opened",IF(C3&lt;&gt;"","Clear reveal number",""),IF(C3="","Enter reveal number",IF(COUNTIFS($C$2:$C$36,C3)&gt;1,"Duplicate reveal number",IF(AND(D3="Active",COUNTIFS($D$2:$D$36,"Active")&gt;1),"Resolve other active challenge",""))))</x:f>
      </x:c>
      <x:c r="G3" s="12" t="str">
        <x:f>IF(D3="Not opened","Not revealed",IF(C3="","Enter reveal number",IF(OR(D3="Failed",D3="Abandoned"),IF(MAX($C$2:$C$36)&gt;C3,"No retry: newer card opened","Check card retry rule"),IF(D3="Succeeded","Completed","Work on this card"))))</x:f>
        <x:v>Not revealed</x:v>
      </x:c>
      <x:c r="H3" s="2"/>
      <x:c r="I3" s="2"/>
      <x:c r="J3" s="2"/>
    </x:row>
    <x:row r="4" ht="24" customHeight="1">
      <x:c r="A4" s="2" t="str">
        <x:v>Red</x:v>
      </x:c>
      <x:c r="B4" s="2" t="str">
        <x:v>bay-village</x:v>
      </x:c>
      <x:c r="C4" s="13"/>
      <x:c r="D4" s="11" t="str">
        <x:v>Not opened</x:v>
      </x:c>
      <x:c r="E4" s="2" t="str">
        <x:v>Bay Village</x:v>
      </x:c>
      <x:c r="F4" s="12" t="str">
        <x:f>IF(D4="Not opened",IF(C4&lt;&gt;"","Clear reveal number",""),IF(C4="","Enter reveal number",IF(COUNTIFS($C$2:$C$36,C4)&gt;1,"Duplicate reveal number",IF(AND(D4="Active",COUNTIFS($D$2:$D$36,"Active")&gt;1),"Resolve other active challenge",""))))</x:f>
      </x:c>
      <x:c r="G4" s="12" t="str">
        <x:f>IF(D4="Not opened","Not revealed",IF(C4="","Enter reveal number",IF(OR(D4="Failed",D4="Abandoned"),IF(MAX($C$2:$C$36)&gt;C4,"No retry: newer card opened","Check card retry rule"),IF(D4="Succeeded","Completed","Work on this card"))))</x:f>
        <x:v>Not revealed</x:v>
      </x:c>
      <x:c r="H4" s="2"/>
      <x:c r="I4" s="2" t="str">
        <x:v>Next reveal number</x:v>
      </x:c>
      <x:c r="J4" s="10" t="n">
        <x:f>MAX($C$2:$C$36)+1</x:f>
        <x:v>1</x:v>
      </x:c>
    </x:row>
    <x:row r="5" ht="24" customHeight="1">
      <x:c r="A5" s="2" t="str">
        <x:v>Red</x:v>
      </x:c>
      <x:c r="B5" s="2" t="str">
        <x:v>beacon-hill</x:v>
      </x:c>
      <x:c r="C5" s="13"/>
      <x:c r="D5" s="11" t="str">
        <x:v>Not opened</x:v>
      </x:c>
      <x:c r="E5" s="2" t="str">
        <x:v>Beacon Hill</x:v>
      </x:c>
      <x:c r="F5" s="12" t="str">
        <x:f>IF(D5="Not opened",IF(C5&lt;&gt;"","Clear reveal number",""),IF(C5="","Enter reveal number",IF(COUNTIFS($C$2:$C$36,C5)&gt;1,"Duplicate reveal number",IF(AND(D5="Active",COUNTIFS($D$2:$D$36,"Active")&gt;1),"Resolve other active challenge",""))))</x:f>
      </x:c>
      <x:c r="G5" s="12" t="str">
        <x:f>IF(D5="Not opened","Not revealed",IF(C5="","Enter reveal number",IF(OR(D5="Failed",D5="Abandoned"),IF(MAX($C$2:$C$36)&gt;C5,"No retry: newer card opened","Check card retry rule"),IF(D5="Succeeded","Completed","Work on this card"))))</x:f>
        <x:v>Not revealed</x:v>
      </x:c>
      <x:c r="H5" s="2"/>
      <x:c r="I5" s="2"/>
      <x:c r="J5" s="2"/>
    </x:row>
    <x:row r="6" ht="24" customHeight="1">
      <x:c r="A6" s="2" t="str">
        <x:v>Red</x:v>
      </x:c>
      <x:c r="B6" s="2" t="str">
        <x:v>brighton</x:v>
      </x:c>
      <x:c r="C6" s="13"/>
      <x:c r="D6" s="11" t="str">
        <x:v>Not opened</x:v>
      </x:c>
      <x:c r="E6" s="2" t="str">
        <x:v>Brighton</x:v>
      </x:c>
      <x:c r="F6" s="12" t="str">
        <x:f>IF(D6="Not opened",IF(C6&lt;&gt;"","Clear reveal number",""),IF(C6="","Enter reveal number",IF(COUNTIFS($C$2:$C$36,C6)&gt;1,"Duplicate reveal number",IF(AND(D6="Active",COUNTIFS($D$2:$D$36,"Active")&gt;1),"Resolve other active challenge",""))))</x:f>
      </x:c>
      <x:c r="G6" s="12" t="str">
        <x:f>IF(D6="Not opened","Not revealed",IF(C6="","Enter reveal number",IF(OR(D6="Failed",D6="Abandoned"),IF(MAX($C$2:$C$36)&gt;C6,"No retry: newer card opened","Check card retry rule"),IF(D6="Succeeded","Completed","Work on this card"))))</x:f>
        <x:v>Not revealed</x:v>
      </x:c>
      <x:c r="H6" s="2"/>
      <x:c r="I6" s="2" t="str">
        <x:v>Edit only reveal_order and status.</x:v>
      </x:c>
      <x:c r="J6" s="2"/>
    </x:row>
    <x:row r="7" ht="24" customHeight="1">
      <x:c r="A7" s="2" t="str">
        <x:v>Red</x:v>
      </x:c>
      <x:c r="B7" s="2" t="str">
        <x:v>charlestown</x:v>
      </x:c>
      <x:c r="C7" s="13"/>
      <x:c r="D7" s="11" t="str">
        <x:v>Not opened</x:v>
      </x:c>
      <x:c r="E7" s="2" t="str">
        <x:v>Charlestown</x:v>
      </x:c>
      <x:c r="F7" s="12" t="str">
        <x:f>IF(D7="Not opened",IF(C7&lt;&gt;"","Clear reveal number",""),IF(C7="","Enter reveal number",IF(COUNTIFS($C$2:$C$36,C7)&gt;1,"Duplicate reveal number",IF(AND(D7="Active",COUNTIFS($D$2:$D$36,"Active")&gt;1),"Resolve other active challenge",""))))</x:f>
      </x:c>
      <x:c r="G7" s="12" t="str">
        <x:f>IF(D7="Not opened","Not revealed",IF(C7="","Enter reveal number",IF(OR(D7="Failed",D7="Abandoned"),IF(MAX($C$2:$C$36)&gt;C7,"No retry: newer card opened","Check card retry rule"),IF(D7="Succeeded","Completed","Work on this card"))))</x:f>
        <x:v>Not revealed</x:v>
      </x:c>
      <x:c r="H7" s="2"/>
      <x:c r="I7" s="2" t="str">
        <x:v>Keep the reveal number when retrying.</x:v>
      </x:c>
      <x:c r="J7" s="2"/>
    </x:row>
    <x:row r="8" ht="24" customHeight="1">
      <x:c r="A8" s="2" t="str">
        <x:v>Red</x:v>
      </x:c>
      <x:c r="B8" s="2" t="str">
        <x:v>chinatown-leather-district</x:v>
      </x:c>
      <x:c r="C8" s="13"/>
      <x:c r="D8" s="11" t="str">
        <x:v>Not opened</x:v>
      </x:c>
      <x:c r="E8" s="2" t="str">
        <x:v>Chinatown–Leather District</x:v>
      </x:c>
      <x:c r="F8" s="12" t="str">
        <x:f>IF(D8="Not opened",IF(C8&lt;&gt;"","Clear reveal number",""),IF(C8="","Enter reveal number",IF(COUNTIFS($C$2:$C$36,C8)&gt;1,"Duplicate reveal number",IF(AND(D8="Active",COUNTIFS($D$2:$D$36,"Active")&gt;1),"Resolve other active challenge",""))))</x:f>
      </x:c>
      <x:c r="G8" s="12" t="str">
        <x:f>IF(D8="Not opened","Not revealed",IF(C8="","Enter reveal number",IF(OR(D8="Failed",D8="Abandoned"),IF(MAX($C$2:$C$36)&gt;C8,"No retry: newer card opened","Check card retry rule"),IF(D8="Succeeded","Completed","Work on this card"))))</x:f>
        <x:v>Not revealed</x:v>
      </x:c>
      <x:c r="H8" s="2"/>
      <x:c r="I8" s="2" t="str">
        <x:v>Resolve this card before opening another.</x:v>
      </x:c>
      <x:c r="J8" s="2"/>
    </x:row>
    <x:row r="9" ht="24" customHeight="1">
      <x:c r="A9" s="2" t="str">
        <x:v>Red</x:v>
      </x:c>
      <x:c r="B9" s="2" t="str">
        <x:v>dorchester</x:v>
      </x:c>
      <x:c r="C9" s="13"/>
      <x:c r="D9" s="11" t="str">
        <x:v>Not opened</x:v>
      </x:c>
      <x:c r="E9" s="2" t="str">
        <x:v>Dorchester</x:v>
      </x:c>
      <x:c r="F9" s="12" t="str">
        <x:f>IF(D9="Not opened",IF(C9&lt;&gt;"","Clear reveal number",""),IF(C9="","Enter reveal number",IF(COUNTIFS($C$2:$C$36,C9)&gt;1,"Duplicate reveal number",IF(AND(D9="Active",COUNTIFS($D$2:$D$36,"Active")&gt;1),"Resolve other active challenge",""))))</x:f>
      </x:c>
      <x:c r="G9" s="12" t="str">
        <x:f>IF(D9="Not opened","Not revealed",IF(C9="","Enter reveal number",IF(OR(D9="Failed",D9="Abandoned"),IF(MAX($C$2:$C$36)&gt;C9,"No retry: newer card opened","Check card retry rule"),IF(D9="Succeeded","Completed","Work on this card"))))</x:f>
        <x:v>Not revealed</x:v>
      </x:c>
      <x:c r="H9" s="2"/>
      <x:c r="I9" s="2" t="str">
        <x:v>An older card cannot be retried after a newer reveal.</x:v>
      </x:c>
      <x:c r="J9" s="2"/>
    </x:row>
    <x:row r="10" ht="24" customHeight="1">
      <x:c r="A10" s="2" t="str">
        <x:v>Red</x:v>
      </x:c>
      <x:c r="B10" s="2" t="str">
        <x:v>downtown</x:v>
      </x:c>
      <x:c r="C10" s="13"/>
      <x:c r="D10" s="11" t="str">
        <x:v>Not opened</x:v>
      </x:c>
      <x:c r="E10" s="2" t="str">
        <x:v>Downtown</x:v>
      </x:c>
      <x:c r="F10" s="12" t="str">
        <x:f>IF(D10="Not opened",IF(C10&lt;&gt;"","Clear reveal number",""),IF(C10="","Enter reveal number",IF(COUNTIFS($C$2:$C$36,C10)&gt;1,"Duplicate reveal number",IF(AND(D10="Active",COUNTIFS($D$2:$D$36,"Active")&gt;1),"Resolve other active challenge",""))))</x:f>
      </x:c>
      <x:c r="G10" s="12" t="str">
        <x:f>IF(D10="Not opened","Not revealed",IF(C10="","Enter reveal number",IF(OR(D10="Failed",D10="Abandoned"),IF(MAX($C$2:$C$36)&gt;C10,"No retry: newer card opened","Check card retry rule"),IF(D10="Succeeded","Completed","Work on this card"))))</x:f>
        <x:v>Not revealed</x:v>
      </x:c>
      <x:c r="H10" s="2"/>
      <x:c r="I10" s="2" t="str">
        <x:v>Whether a card allows retries is written on that card.</x:v>
      </x:c>
      <x:c r="J10" s="2"/>
    </x:row>
    <x:row r="11" ht="24" customHeight="1">
      <x:c r="A11" s="2" t="str">
        <x:v>Red</x:v>
      </x:c>
      <x:c r="B11" s="2" t="str">
        <x:v>east-boston</x:v>
      </x:c>
      <x:c r="C11" s="13"/>
      <x:c r="D11" s="11" t="str">
        <x:v>Not opened</x:v>
      </x:c>
      <x:c r="E11" s="2" t="str">
        <x:v>East Boston</x:v>
      </x:c>
      <x:c r="F11" s="12" t="str">
        <x:f>IF(D11="Not opened",IF(C11&lt;&gt;"","Clear reveal number",""),IF(C11="","Enter reveal number",IF(COUNTIFS($C$2:$C$36,C11)&gt;1,"Duplicate reveal number",IF(AND(D11="Active",COUNTIFS($D$2:$D$36,"Active")&gt;1),"Resolve other active challenge",""))))</x:f>
      </x:c>
      <x:c r="G11" s="12" t="str">
        <x:f>IF(D11="Not opened","Not revealed",IF(C11="","Enter reveal number",IF(OR(D11="Failed",D11="Abandoned"),IF(MAX($C$2:$C$36)&gt;C11,"No retry: newer card opened","Check card retry rule"),IF(D11="Succeeded","Completed","Work on this card"))))</x:f>
        <x:v>Not revealed</x:v>
      </x:c>
      <x:c r="H11" s="2"/>
      <x:c r="I11" s="2"/>
      <x:c r="J11" s="2"/>
    </x:row>
    <x:row r="12" ht="24" customHeight="1">
      <x:c r="A12" s="2" t="str">
        <x:v>Red</x:v>
      </x:c>
      <x:c r="B12" s="2" t="str">
        <x:v>fenway-kenmore</x:v>
      </x:c>
      <x:c r="C12" s="13"/>
      <x:c r="D12" s="11" t="str">
        <x:v>Not opened</x:v>
      </x:c>
      <x:c r="E12" s="2" t="str">
        <x:v>Fenway–Kenmore</x:v>
      </x:c>
      <x:c r="F12" s="12" t="str">
        <x:f>IF(D12="Not opened",IF(C12&lt;&gt;"","Clear reveal number",""),IF(C12="","Enter reveal number",IF(COUNTIFS($C$2:$C$36,C12)&gt;1,"Duplicate reveal number",IF(AND(D12="Active",COUNTIFS($D$2:$D$36,"Active")&gt;1),"Resolve other active challenge",""))))</x:f>
      </x:c>
      <x:c r="G12" s="12" t="str">
        <x:f>IF(D12="Not opened","Not revealed",IF(C12="","Enter reveal number",IF(OR(D12="Failed",D12="Abandoned"),IF(MAX($C$2:$C$36)&gt;C12,"No retry: newer card opened","Check card retry rule"),IF(D12="Succeeded","Completed","Work on this card"))))</x:f>
        <x:v>Not revealed</x:v>
      </x:c>
      <x:c r="H12" s="2"/>
      <x:c r="I12" s="2"/>
      <x:c r="J12" s="2"/>
    </x:row>
    <x:row r="13" ht="24" customHeight="1">
      <x:c r="A13" s="2" t="str">
        <x:v>Red</x:v>
      </x:c>
      <x:c r="B13" s="2" t="str">
        <x:v>hyde-park</x:v>
      </x:c>
      <x:c r="C13" s="13"/>
      <x:c r="D13" s="11" t="str">
        <x:v>Not opened</x:v>
      </x:c>
      <x:c r="E13" s="2" t="str">
        <x:v>Hyde Park</x:v>
      </x:c>
      <x:c r="F13" s="12" t="str">
        <x:f>IF(D13="Not opened",IF(C13&lt;&gt;"","Clear reveal number",""),IF(C13="","Enter reveal number",IF(COUNTIFS($C$2:$C$36,C13)&gt;1,"Duplicate reveal number",IF(AND(D13="Active",COUNTIFS($D$2:$D$36,"Active")&gt;1),"Resolve other active challenge",""))))</x:f>
      </x:c>
      <x:c r="G13" s="12" t="str">
        <x:f>IF(D13="Not opened","Not revealed",IF(C13="","Enter reveal number",IF(OR(D13="Failed",D13="Abandoned"),IF(MAX($C$2:$C$36)&gt;C13,"No retry: newer card opened","Check card retry rule"),IF(D13="Succeeded","Completed","Work on this card"))))</x:f>
        <x:v>Not revealed</x:v>
      </x:c>
      <x:c r="H13" s="2"/>
      <x:c r="I13" s="2"/>
      <x:c r="J13" s="2"/>
    </x:row>
    <x:row r="14" ht="24" customHeight="1">
      <x:c r="A14" s="2" t="str">
        <x:v>Red</x:v>
      </x:c>
      <x:c r="B14" s="2" t="str">
        <x:v>jamaica-plain</x:v>
      </x:c>
      <x:c r="C14" s="13"/>
      <x:c r="D14" s="11" t="str">
        <x:v>Not opened</x:v>
      </x:c>
      <x:c r="E14" s="2" t="str">
        <x:v>Jamaica Plain</x:v>
      </x:c>
      <x:c r="F14" s="12" t="str">
        <x:f>IF(D14="Not opened",IF(C14&lt;&gt;"","Clear reveal number",""),IF(C14="","Enter reveal number",IF(COUNTIFS($C$2:$C$36,C14)&gt;1,"Duplicate reveal number",IF(AND(D14="Active",COUNTIFS($D$2:$D$36,"Active")&gt;1),"Resolve other active challenge",""))))</x:f>
      </x:c>
      <x:c r="G14" s="12" t="str">
        <x:f>IF(D14="Not opened","Not revealed",IF(C14="","Enter reveal number",IF(OR(D14="Failed",D14="Abandoned"),IF(MAX($C$2:$C$36)&gt;C14,"No retry: newer card opened","Check card retry rule"),IF(D14="Succeeded","Completed","Work on this card"))))</x:f>
        <x:v>Not revealed</x:v>
      </x:c>
      <x:c r="H14" s="2"/>
      <x:c r="I14" s="2"/>
      <x:c r="J14" s="2"/>
    </x:row>
    <x:row r="15" ht="24" customHeight="1">
      <x:c r="A15" s="2" t="str">
        <x:v>Red</x:v>
      </x:c>
      <x:c r="B15" s="2" t="str">
        <x:v>mattapan</x:v>
      </x:c>
      <x:c r="C15" s="13"/>
      <x:c r="D15" s="11" t="str">
        <x:v>Not opened</x:v>
      </x:c>
      <x:c r="E15" s="2" t="str">
        <x:v>Mattapan</x:v>
      </x:c>
      <x:c r="F15" s="12" t="str">
        <x:f>IF(D15="Not opened",IF(C15&lt;&gt;"","Clear reveal number",""),IF(C15="","Enter reveal number",IF(COUNTIFS($C$2:$C$36,C15)&gt;1,"Duplicate reveal number",IF(AND(D15="Active",COUNTIFS($D$2:$D$36,"Active")&gt;1),"Resolve other active challenge",""))))</x:f>
      </x:c>
      <x:c r="G15" s="12" t="str">
        <x:f>IF(D15="Not opened","Not revealed",IF(C15="","Enter reveal number",IF(OR(D15="Failed",D15="Abandoned"),IF(MAX($C$2:$C$36)&gt;C15,"No retry: newer card opened","Check card retry rule"),IF(D15="Succeeded","Completed","Work on this card"))))</x:f>
        <x:v>Not revealed</x:v>
      </x:c>
      <x:c r="H15" s="2"/>
      <x:c r="I15" s="2"/>
      <x:c r="J15" s="2"/>
    </x:row>
    <x:row r="16" ht="24" customHeight="1">
      <x:c r="A16" s="2" t="str">
        <x:v>Red</x:v>
      </x:c>
      <x:c r="B16" s="2" t="str">
        <x:v>mission-hill</x:v>
      </x:c>
      <x:c r="C16" s="13"/>
      <x:c r="D16" s="11" t="str">
        <x:v>Not opened</x:v>
      </x:c>
      <x:c r="E16" s="2" t="str">
        <x:v>Mission Hill</x:v>
      </x:c>
      <x:c r="F16" s="12" t="str">
        <x:f>IF(D16="Not opened",IF(C16&lt;&gt;"","Clear reveal number",""),IF(C16="","Enter reveal number",IF(COUNTIFS($C$2:$C$36,C16)&gt;1,"Duplicate reveal number",IF(AND(D16="Active",COUNTIFS($D$2:$D$36,"Active")&gt;1),"Resolve other active challenge",""))))</x:f>
      </x:c>
      <x:c r="G16" s="12" t="str">
        <x:f>IF(D16="Not opened","Not revealed",IF(C16="","Enter reveal number",IF(OR(D16="Failed",D16="Abandoned"),IF(MAX($C$2:$C$36)&gt;C16,"No retry: newer card opened","Check card retry rule"),IF(D16="Succeeded","Completed","Work on this card"))))</x:f>
        <x:v>Not revealed</x:v>
      </x:c>
      <x:c r="H16" s="2"/>
      <x:c r="I16" s="2"/>
      <x:c r="J16" s="2"/>
    </x:row>
    <x:row r="17" ht="24" customHeight="1">
      <x:c r="A17" s="2" t="str">
        <x:v>Red</x:v>
      </x:c>
      <x:c r="B17" s="2" t="str">
        <x:v>north-end</x:v>
      </x:c>
      <x:c r="C17" s="13"/>
      <x:c r="D17" s="11" t="str">
        <x:v>Not opened</x:v>
      </x:c>
      <x:c r="E17" s="2" t="str">
        <x:v>North End</x:v>
      </x:c>
      <x:c r="F17" s="12" t="str">
        <x:f>IF(D17="Not opened",IF(C17&lt;&gt;"","Clear reveal number",""),IF(C17="","Enter reveal number",IF(COUNTIFS($C$2:$C$36,C17)&gt;1,"Duplicate reveal number",IF(AND(D17="Active",COUNTIFS($D$2:$D$36,"Active")&gt;1),"Resolve other active challenge",""))))</x:f>
      </x:c>
      <x:c r="G17" s="12" t="str">
        <x:f>IF(D17="Not opened","Not revealed",IF(C17="","Enter reveal number",IF(OR(D17="Failed",D17="Abandoned"),IF(MAX($C$2:$C$36)&gt;C17,"No retry: newer card opened","Check card retry rule"),IF(D17="Succeeded","Completed","Work on this card"))))</x:f>
        <x:v>Not revealed</x:v>
      </x:c>
      <x:c r="H17" s="2"/>
      <x:c r="I17" s="2"/>
      <x:c r="J17" s="2"/>
    </x:row>
    <x:row r="18" ht="24" customHeight="1">
      <x:c r="A18" s="2" t="str">
        <x:v>Red</x:v>
      </x:c>
      <x:c r="B18" s="2" t="str">
        <x:v>roslindale</x:v>
      </x:c>
      <x:c r="C18" s="13"/>
      <x:c r="D18" s="11" t="str">
        <x:v>Not opened</x:v>
      </x:c>
      <x:c r="E18" s="2" t="str">
        <x:v>Roslindale</x:v>
      </x:c>
      <x:c r="F18" s="12" t="str">
        <x:f>IF(D18="Not opened",IF(C18&lt;&gt;"","Clear reveal number",""),IF(C18="","Enter reveal number",IF(COUNTIFS($C$2:$C$36,C18)&gt;1,"Duplicate reveal number",IF(AND(D18="Active",COUNTIFS($D$2:$D$36,"Active")&gt;1),"Resolve other active challenge",""))))</x:f>
      </x:c>
      <x:c r="G18" s="12" t="str">
        <x:f>IF(D18="Not opened","Not revealed",IF(C18="","Enter reveal number",IF(OR(D18="Failed",D18="Abandoned"),IF(MAX($C$2:$C$36)&gt;C18,"No retry: newer card opened","Check card retry rule"),IF(D18="Succeeded","Completed","Work on this card"))))</x:f>
        <x:v>Not revealed</x:v>
      </x:c>
      <x:c r="H18" s="2"/>
      <x:c r="I18" s="2"/>
      <x:c r="J18" s="2"/>
    </x:row>
    <x:row r="19" ht="24" customHeight="1">
      <x:c r="A19" s="2" t="str">
        <x:v>Red</x:v>
      </x:c>
      <x:c r="B19" s="2" t="str">
        <x:v>roxbury</x:v>
      </x:c>
      <x:c r="C19" s="13"/>
      <x:c r="D19" s="11" t="str">
        <x:v>Not opened</x:v>
      </x:c>
      <x:c r="E19" s="2" t="str">
        <x:v>Roxbury</x:v>
      </x:c>
      <x:c r="F19" s="12" t="str">
        <x:f>IF(D19="Not opened",IF(C19&lt;&gt;"","Clear reveal number",""),IF(C19="","Enter reveal number",IF(COUNTIFS($C$2:$C$36,C19)&gt;1,"Duplicate reveal number",IF(AND(D19="Active",COUNTIFS($D$2:$D$36,"Active")&gt;1),"Resolve other active challenge",""))))</x:f>
      </x:c>
      <x:c r="G19" s="12" t="str">
        <x:f>IF(D19="Not opened","Not revealed",IF(C19="","Enter reveal number",IF(OR(D19="Failed",D19="Abandoned"),IF(MAX($C$2:$C$36)&gt;C19,"No retry: newer card opened","Check card retry rule"),IF(D19="Succeeded","Completed","Work on this card"))))</x:f>
        <x:v>Not revealed</x:v>
      </x:c>
      <x:c r="H19" s="2"/>
      <x:c r="I19" s="2"/>
      <x:c r="J19" s="2"/>
    </x:row>
    <x:row r="20" ht="24" customHeight="1">
      <x:c r="A20" s="2" t="str">
        <x:v>Red</x:v>
      </x:c>
      <x:c r="B20" s="2" t="str">
        <x:v>south-boston</x:v>
      </x:c>
      <x:c r="C20" s="13"/>
      <x:c r="D20" s="11" t="str">
        <x:v>Not opened</x:v>
      </x:c>
      <x:c r="E20" s="2" t="str">
        <x:v>South Boston</x:v>
      </x:c>
      <x:c r="F20" s="12" t="str">
        <x:f>IF(D20="Not opened",IF(C20&lt;&gt;"","Clear reveal number",""),IF(C20="","Enter reveal number",IF(COUNTIFS($C$2:$C$36,C20)&gt;1,"Duplicate reveal number",IF(AND(D20="Active",COUNTIFS($D$2:$D$36,"Active")&gt;1),"Resolve other active challenge",""))))</x:f>
      </x:c>
      <x:c r="G20" s="12" t="str">
        <x:f>IF(D20="Not opened","Not revealed",IF(C20="","Enter reveal number",IF(OR(D20="Failed",D20="Abandoned"),IF(MAX($C$2:$C$36)&gt;C20,"No retry: newer card opened","Check card retry rule"),IF(D20="Succeeded","Completed","Work on this card"))))</x:f>
        <x:v>Not revealed</x:v>
      </x:c>
      <x:c r="H20" s="2"/>
      <x:c r="I20" s="2"/>
      <x:c r="J20" s="2"/>
    </x:row>
    <x:row r="21" ht="24" customHeight="1">
      <x:c r="A21" s="2" t="str">
        <x:v>Red</x:v>
      </x:c>
      <x:c r="B21" s="2" t="str">
        <x:v>south-end</x:v>
      </x:c>
      <x:c r="C21" s="13"/>
      <x:c r="D21" s="11" t="str">
        <x:v>Not opened</x:v>
      </x:c>
      <x:c r="E21" s="2" t="str">
        <x:v>South End</x:v>
      </x:c>
      <x:c r="F21" s="12" t="str">
        <x:f>IF(D21="Not opened",IF(C21&lt;&gt;"","Clear reveal number",""),IF(C21="","Enter reveal number",IF(COUNTIFS($C$2:$C$36,C21)&gt;1,"Duplicate reveal number",IF(AND(D21="Active",COUNTIFS($D$2:$D$36,"Active")&gt;1),"Resolve other active challenge",""))))</x:f>
      </x:c>
      <x:c r="G21" s="12" t="str">
        <x:f>IF(D21="Not opened","Not revealed",IF(C21="","Enter reveal number",IF(OR(D21="Failed",D21="Abandoned"),IF(MAX($C$2:$C$36)&gt;C21,"No retry: newer card opened","Check card retry rule"),IF(D21="Succeeded","Completed","Work on this card"))))</x:f>
        <x:v>Not revealed</x:v>
      </x:c>
      <x:c r="H21" s="2"/>
      <x:c r="I21" s="2"/>
      <x:c r="J21" s="2"/>
    </x:row>
    <x:row r="22" ht="24" customHeight="1">
      <x:c r="A22" s="2" t="str">
        <x:v>Red</x:v>
      </x:c>
      <x:c r="B22" s="2" t="str">
        <x:v>west-end</x:v>
      </x:c>
      <x:c r="C22" s="13"/>
      <x:c r="D22" s="11" t="str">
        <x:v>Not opened</x:v>
      </x:c>
      <x:c r="E22" s="2" t="str">
        <x:v>West End</x:v>
      </x:c>
      <x:c r="F22" s="12" t="str">
        <x:f>IF(D22="Not opened",IF(C22&lt;&gt;"","Clear reveal number",""),IF(C22="","Enter reveal number",IF(COUNTIFS($C$2:$C$36,C22)&gt;1,"Duplicate reveal number",IF(AND(D22="Active",COUNTIFS($D$2:$D$36,"Active")&gt;1),"Resolve other active challenge",""))))</x:f>
      </x:c>
      <x:c r="G22" s="12" t="str">
        <x:f>IF(D22="Not opened","Not revealed",IF(C22="","Enter reveal number",IF(OR(D22="Failed",D22="Abandoned"),IF(MAX($C$2:$C$36)&gt;C22,"No retry: newer card opened","Check card retry rule"),IF(D22="Succeeded","Completed","Work on this card"))))</x:f>
        <x:v>Not revealed</x:v>
      </x:c>
      <x:c r="H22" s="2"/>
      <x:c r="I22" s="2"/>
      <x:c r="J22" s="2"/>
    </x:row>
    <x:row r="23" ht="24" customHeight="1">
      <x:c r="A23" s="2" t="str">
        <x:v>Red</x:v>
      </x:c>
      <x:c r="B23" s="2" t="str">
        <x:v>west-roxbury</x:v>
      </x:c>
      <x:c r="C23" s="13"/>
      <x:c r="D23" s="11" t="str">
        <x:v>Not opened</x:v>
      </x:c>
      <x:c r="E23" s="2" t="str">
        <x:v>West Roxbury</x:v>
      </x:c>
      <x:c r="F23" s="12" t="str">
        <x:f>IF(D23="Not opened",IF(C23&lt;&gt;"","Clear reveal number",""),IF(C23="","Enter reveal number",IF(COUNTIFS($C$2:$C$36,C23)&gt;1,"Duplicate reveal number",IF(AND(D23="Active",COUNTIFS($D$2:$D$36,"Active")&gt;1),"Resolve other active challenge",""))))</x:f>
      </x:c>
      <x:c r="G23" s="12" t="str">
        <x:f>IF(D23="Not opened","Not revealed",IF(C23="","Enter reveal number",IF(OR(D23="Failed",D23="Abandoned"),IF(MAX($C$2:$C$36)&gt;C23,"No retry: newer card opened","Check card retry rule"),IF(D23="Succeeded","Completed","Work on this card"))))</x:f>
        <x:v>Not revealed</x:v>
      </x:c>
      <x:c r="H23" s="2"/>
      <x:c r="I23" s="2"/>
      <x:c r="J23" s="2"/>
    </x:row>
    <x:row r="24" ht="24" customHeight="1">
      <x:c r="A24" s="2" t="str">
        <x:v>Red</x:v>
      </x:c>
      <x:c r="B24" s="2" t="str">
        <x:v>seaport</x:v>
      </x:c>
      <x:c r="C24" s="13"/>
      <x:c r="D24" s="11" t="str">
        <x:v>Not opened</x:v>
      </x:c>
      <x:c r="E24" s="2" t="str">
        <x:v>Seaport</x:v>
      </x:c>
      <x:c r="F24" s="12" t="str">
        <x:f>IF(D24="Not opened",IF(C24&lt;&gt;"","Clear reveal number",""),IF(C24="","Enter reveal number",IF(COUNTIFS($C$2:$C$36,C24)&gt;1,"Duplicate reveal number",IF(AND(D24="Active",COUNTIFS($D$2:$D$36,"Active")&gt;1),"Resolve other active challenge",""))))</x:f>
      </x:c>
      <x:c r="G24" s="12" t="str">
        <x:f>IF(D24="Not opened","Not revealed",IF(C24="","Enter reveal number",IF(OR(D24="Failed",D24="Abandoned"),IF(MAX($C$2:$C$36)&gt;C24,"No retry: newer card opened","Check card retry rule"),IF(D24="Succeeded","Completed","Work on this card"))))</x:f>
        <x:v>Not revealed</x:v>
      </x:c>
      <x:c r="H24" s="2"/>
      <x:c r="I24" s="2"/>
      <x:c r="J24" s="2"/>
    </x:row>
    <x:row r="25" ht="24" customHeight="1">
      <x:c r="A25" s="2" t="str">
        <x:v>Red</x:v>
      </x:c>
      <x:c r="B25" s="2" t="str">
        <x:v>cambridge</x:v>
      </x:c>
      <x:c r="C25" s="13"/>
      <x:c r="D25" s="11" t="str">
        <x:v>Not opened</x:v>
      </x:c>
      <x:c r="E25" s="2" t="str">
        <x:v>Cambridge</x:v>
      </x:c>
      <x:c r="F25" s="12" t="str">
        <x:f>IF(D25="Not opened",IF(C25&lt;&gt;"","Clear reveal number",""),IF(C25="","Enter reveal number",IF(COUNTIFS($C$2:$C$36,C25)&gt;1,"Duplicate reveal number",IF(AND(D25="Active",COUNTIFS($D$2:$D$36,"Active")&gt;1),"Resolve other active challenge",""))))</x:f>
      </x:c>
      <x:c r="G25" s="12" t="str">
        <x:f>IF(D25="Not opened","Not revealed",IF(C25="","Enter reveal number",IF(OR(D25="Failed",D25="Abandoned"),IF(MAX($C$2:$C$36)&gt;C25,"No retry: newer card opened","Check card retry rule"),IF(D25="Succeeded","Completed","Work on this card"))))</x:f>
        <x:v>Not revealed</x:v>
      </x:c>
      <x:c r="H25" s="2"/>
      <x:c r="I25" s="2"/>
      <x:c r="J25" s="2"/>
    </x:row>
    <x:row r="26" ht="24" customHeight="1">
      <x:c r="A26" s="2" t="str">
        <x:v>Red</x:v>
      </x:c>
      <x:c r="B26" s="2" t="str">
        <x:v>somerville</x:v>
      </x:c>
      <x:c r="C26" s="13"/>
      <x:c r="D26" s="11" t="str">
        <x:v>Not opened</x:v>
      </x:c>
      <x:c r="E26" s="2" t="str">
        <x:v>Somerville</x:v>
      </x:c>
      <x:c r="F26" s="12" t="str">
        <x:f>IF(D26="Not opened",IF(C26&lt;&gt;"","Clear reveal number",""),IF(C26="","Enter reveal number",IF(COUNTIFS($C$2:$C$36,C26)&gt;1,"Duplicate reveal number",IF(AND(D26="Active",COUNTIFS($D$2:$D$36,"Active")&gt;1),"Resolve other active challenge",""))))</x:f>
      </x:c>
      <x:c r="G26" s="12" t="str">
        <x:f>IF(D26="Not opened","Not revealed",IF(C26="","Enter reveal number",IF(OR(D26="Failed",D26="Abandoned"),IF(MAX($C$2:$C$36)&gt;C26,"No retry: newer card opened","Check card retry rule"),IF(D26="Succeeded","Completed","Work on this card"))))</x:f>
        <x:v>Not revealed</x:v>
      </x:c>
      <x:c r="H26" s="2"/>
      <x:c r="I26" s="2"/>
      <x:c r="J26" s="2"/>
    </x:row>
    <x:row r="27" ht="24" customHeight="1">
      <x:c r="A27" s="2" t="str">
        <x:v>Red</x:v>
      </x:c>
      <x:c r="B27" s="2" t="str">
        <x:v>everett</x:v>
      </x:c>
      <x:c r="C27" s="13"/>
      <x:c r="D27" s="11" t="str">
        <x:v>Not opened</x:v>
      </x:c>
      <x:c r="E27" s="2" t="str">
        <x:v>Everett</x:v>
      </x:c>
      <x:c r="F27" s="12" t="str">
        <x:f>IF(D27="Not opened",IF(C27&lt;&gt;"","Clear reveal number",""),IF(C27="","Enter reveal number",IF(COUNTIFS($C$2:$C$36,C27)&gt;1,"Duplicate reveal number",IF(AND(D27="Active",COUNTIFS($D$2:$D$36,"Active")&gt;1),"Resolve other active challenge",""))))</x:f>
      </x:c>
      <x:c r="G27" s="12" t="str">
        <x:f>IF(D27="Not opened","Not revealed",IF(C27="","Enter reveal number",IF(OR(D27="Failed",D27="Abandoned"),IF(MAX($C$2:$C$36)&gt;C27,"No retry: newer card opened","Check card retry rule"),IF(D27="Succeeded","Completed","Work on this card"))))</x:f>
        <x:v>Not revealed</x:v>
      </x:c>
      <x:c r="H27" s="2"/>
      <x:c r="I27" s="2"/>
      <x:c r="J27" s="2"/>
    </x:row>
    <x:row r="28" ht="24" customHeight="1">
      <x:c r="A28" s="2" t="str">
        <x:v>Red</x:v>
      </x:c>
      <x:c r="B28" s="2" t="str">
        <x:v>chelsea</x:v>
      </x:c>
      <x:c r="C28" s="13"/>
      <x:c r="D28" s="11" t="str">
        <x:v>Not opened</x:v>
      </x:c>
      <x:c r="E28" s="2" t="str">
        <x:v>Chelsea</x:v>
      </x:c>
      <x:c r="F28" s="12" t="str">
        <x:f>IF(D28="Not opened",IF(C28&lt;&gt;"","Clear reveal number",""),IF(C28="","Enter reveal number",IF(COUNTIFS($C$2:$C$36,C28)&gt;1,"Duplicate reveal number",IF(AND(D28="Active",COUNTIFS($D$2:$D$36,"Active")&gt;1),"Resolve other active challenge",""))))</x:f>
      </x:c>
      <x:c r="G28" s="12" t="str">
        <x:f>IF(D28="Not opened","Not revealed",IF(C28="","Enter reveal number",IF(OR(D28="Failed",D28="Abandoned"),IF(MAX($C$2:$C$36)&gt;C28,"No retry: newer card opened","Check card retry rule"),IF(D28="Succeeded","Completed","Work on this card"))))</x:f>
        <x:v>Not revealed</x:v>
      </x:c>
      <x:c r="H28" s="2"/>
      <x:c r="I28" s="2"/>
      <x:c r="J28" s="2"/>
    </x:row>
    <x:row r="29" ht="24" customHeight="1">
      <x:c r="A29" s="2" t="str">
        <x:v>Red</x:v>
      </x:c>
      <x:c r="B29" s="2" t="str">
        <x:v>revere</x:v>
      </x:c>
      <x:c r="C29" s="13"/>
      <x:c r="D29" s="11" t="str">
        <x:v>Not opened</x:v>
      </x:c>
      <x:c r="E29" s="2" t="str">
        <x:v>Revere</x:v>
      </x:c>
      <x:c r="F29" s="12" t="str">
        <x:f>IF(D29="Not opened",IF(C29&lt;&gt;"","Clear reveal number",""),IF(C29="","Enter reveal number",IF(COUNTIFS($C$2:$C$36,C29)&gt;1,"Duplicate reveal number",IF(AND(D29="Active",COUNTIFS($D$2:$D$36,"Active")&gt;1),"Resolve other active challenge",""))))</x:f>
      </x:c>
      <x:c r="G29" s="12" t="str">
        <x:f>IF(D29="Not opened","Not revealed",IF(C29="","Enter reveal number",IF(OR(D29="Failed",D29="Abandoned"),IF(MAX($C$2:$C$36)&gt;C29,"No retry: newer card opened","Check card retry rule"),IF(D29="Succeeded","Completed","Work on this card"))))</x:f>
        <x:v>Not revealed</x:v>
      </x:c>
      <x:c r="H29" s="2"/>
      <x:c r="I29" s="2"/>
      <x:c r="J29" s="2"/>
    </x:row>
    <x:row r="30" ht="24" customHeight="1">
      <x:c r="A30" s="2" t="str">
        <x:v>Red</x:v>
      </x:c>
      <x:c r="B30" s="2" t="str">
        <x:v>malden</x:v>
      </x:c>
      <x:c r="C30" s="13"/>
      <x:c r="D30" s="11" t="str">
        <x:v>Not opened</x:v>
      </x:c>
      <x:c r="E30" s="2" t="str">
        <x:v>Malden</x:v>
      </x:c>
      <x:c r="F30" s="12" t="str">
        <x:f>IF(D30="Not opened",IF(C30&lt;&gt;"","Clear reveal number",""),IF(C30="","Enter reveal number",IF(COUNTIFS($C$2:$C$36,C30)&gt;1,"Duplicate reveal number",IF(AND(D30="Active",COUNTIFS($D$2:$D$36,"Active")&gt;1),"Resolve other active challenge",""))))</x:f>
      </x:c>
      <x:c r="G30" s="12" t="str">
        <x:f>IF(D30="Not opened","Not revealed",IF(C30="","Enter reveal number",IF(OR(D30="Failed",D30="Abandoned"),IF(MAX($C$2:$C$36)&gt;C30,"No retry: newer card opened","Check card retry rule"),IF(D30="Succeeded","Completed","Work on this card"))))</x:f>
        <x:v>Not revealed</x:v>
      </x:c>
      <x:c r="H30" s="2"/>
      <x:c r="I30" s="2"/>
      <x:c r="J30" s="2"/>
    </x:row>
    <x:row r="31" ht="24" customHeight="1">
      <x:c r="A31" s="2" t="str">
        <x:v>Red</x:v>
      </x:c>
      <x:c r="B31" s="2" t="str">
        <x:v>medford</x:v>
      </x:c>
      <x:c r="C31" s="13"/>
      <x:c r="D31" s="11" t="str">
        <x:v>Not opened</x:v>
      </x:c>
      <x:c r="E31" s="2" t="str">
        <x:v>Medford</x:v>
      </x:c>
      <x:c r="F31" s="12" t="str">
        <x:f>IF(D31="Not opened",IF(C31&lt;&gt;"","Clear reveal number",""),IF(C31="","Enter reveal number",IF(COUNTIFS($C$2:$C$36,C31)&gt;1,"Duplicate reveal number",IF(AND(D31="Active",COUNTIFS($D$2:$D$36,"Active")&gt;1),"Resolve other active challenge",""))))</x:f>
      </x:c>
      <x:c r="G31" s="12" t="str">
        <x:f>IF(D31="Not opened","Not revealed",IF(C31="","Enter reveal number",IF(OR(D31="Failed",D31="Abandoned"),IF(MAX($C$2:$C$36)&gt;C31,"No retry: newer card opened","Check card retry rule"),IF(D31="Succeeded","Completed","Work on this card"))))</x:f>
        <x:v>Not revealed</x:v>
      </x:c>
      <x:c r="H31" s="2"/>
      <x:c r="I31" s="2"/>
      <x:c r="J31" s="2"/>
    </x:row>
    <x:row r="32" ht="24" customHeight="1">
      <x:c r="A32" s="2" t="str">
        <x:v>Red</x:v>
      </x:c>
      <x:c r="B32" s="2" t="str">
        <x:v>brookline</x:v>
      </x:c>
      <x:c r="C32" s="13"/>
      <x:c r="D32" s="11" t="str">
        <x:v>Not opened</x:v>
      </x:c>
      <x:c r="E32" s="2" t="str">
        <x:v>Brookline</x:v>
      </x:c>
      <x:c r="F32" s="12" t="str">
        <x:f>IF(D32="Not opened",IF(C32&lt;&gt;"","Clear reveal number",""),IF(C32="","Enter reveal number",IF(COUNTIFS($C$2:$C$36,C32)&gt;1,"Duplicate reveal number",IF(AND(D32="Active",COUNTIFS($D$2:$D$36,"Active")&gt;1),"Resolve other active challenge",""))))</x:f>
      </x:c>
      <x:c r="G32" s="12" t="str">
        <x:f>IF(D32="Not opened","Not revealed",IF(C32="","Enter reveal number",IF(OR(D32="Failed",D32="Abandoned"),IF(MAX($C$2:$C$36)&gt;C32,"No retry: newer card opened","Check card retry rule"),IF(D32="Succeeded","Completed","Work on this card"))))</x:f>
        <x:v>Not revealed</x:v>
      </x:c>
      <x:c r="H32" s="2"/>
      <x:c r="I32" s="2"/>
      <x:c r="J32" s="2"/>
    </x:row>
    <x:row r="33" ht="24" customHeight="1">
      <x:c r="A33" s="2" t="str">
        <x:v>Red</x:v>
      </x:c>
      <x:c r="B33" s="2" t="str">
        <x:v>newton</x:v>
      </x:c>
      <x:c r="C33" s="13"/>
      <x:c r="D33" s="11" t="str">
        <x:v>Not opened</x:v>
      </x:c>
      <x:c r="E33" s="2" t="str">
        <x:v>Newton</x:v>
      </x:c>
      <x:c r="F33" s="12" t="str">
        <x:f>IF(D33="Not opened",IF(C33&lt;&gt;"","Clear reveal number",""),IF(C33="","Enter reveal number",IF(COUNTIFS($C$2:$C$36,C33)&gt;1,"Duplicate reveal number",IF(AND(D33="Active",COUNTIFS($D$2:$D$36,"Active")&gt;1),"Resolve other active challenge",""))))</x:f>
      </x:c>
      <x:c r="G33" s="12" t="str">
        <x:f>IF(D33="Not opened","Not revealed",IF(C33="","Enter reveal number",IF(OR(D33="Failed",D33="Abandoned"),IF(MAX($C$2:$C$36)&gt;C33,"No retry: newer card opened","Check card retry rule"),IF(D33="Succeeded","Completed","Work on this card"))))</x:f>
        <x:v>Not revealed</x:v>
      </x:c>
      <x:c r="H33" s="2"/>
      <x:c r="I33" s="2"/>
      <x:c r="J33" s="2"/>
    </x:row>
    <x:row r="34" ht="24" customHeight="1">
      <x:c r="A34" s="2" t="str">
        <x:v>Red</x:v>
      </x:c>
      <x:c r="B34" s="2" t="str">
        <x:v>quincy</x:v>
      </x:c>
      <x:c r="C34" s="13"/>
      <x:c r="D34" s="11" t="str">
        <x:v>Not opened</x:v>
      </x:c>
      <x:c r="E34" s="2" t="str">
        <x:v>Quincy</x:v>
      </x:c>
      <x:c r="F34" s="12" t="str">
        <x:f>IF(D34="Not opened",IF(C34&lt;&gt;"","Clear reveal number",""),IF(C34="","Enter reveal number",IF(COUNTIFS($C$2:$C$36,C34)&gt;1,"Duplicate reveal number",IF(AND(D34="Active",COUNTIFS($D$2:$D$36,"Active")&gt;1),"Resolve other active challenge",""))))</x:f>
      </x:c>
      <x:c r="G34" s="12" t="str">
        <x:f>IF(D34="Not opened","Not revealed",IF(C34="","Enter reveal number",IF(OR(D34="Failed",D34="Abandoned"),IF(MAX($C$2:$C$36)&gt;C34,"No retry: newer card opened","Check card retry rule"),IF(D34="Succeeded","Completed","Work on this card"))))</x:f>
        <x:v>Not revealed</x:v>
      </x:c>
      <x:c r="H34" s="2"/>
      <x:c r="I34" s="2"/>
      <x:c r="J34" s="2"/>
    </x:row>
    <x:row r="35" ht="24" customHeight="1">
      <x:c r="A35" s="2" t="str">
        <x:v>Red</x:v>
      </x:c>
      <x:c r="B35" s="2" t="str">
        <x:v>braintree</x:v>
      </x:c>
      <x:c r="C35" s="13"/>
      <x:c r="D35" s="11" t="str">
        <x:v>Not opened</x:v>
      </x:c>
      <x:c r="E35" s="2" t="str">
        <x:v>Braintree</x:v>
      </x:c>
      <x:c r="F35" s="12" t="str">
        <x:f>IF(D35="Not opened",IF(C35&lt;&gt;"","Clear reveal number",""),IF(C35="","Enter reveal number",IF(COUNTIFS($C$2:$C$36,C35)&gt;1,"Duplicate reveal number",IF(AND(D35="Active",COUNTIFS($D$2:$D$36,"Active")&gt;1),"Resolve other active challenge",""))))</x:f>
      </x:c>
      <x:c r="G35" s="12" t="str">
        <x:f>IF(D35="Not opened","Not revealed",IF(C35="","Enter reveal number",IF(OR(D35="Failed",D35="Abandoned"),IF(MAX($C$2:$C$36)&gt;C35,"No retry: newer card opened","Check card retry rule"),IF(D35="Succeeded","Completed","Work on this card"))))</x:f>
        <x:v>Not revealed</x:v>
      </x:c>
      <x:c r="H35" s="2"/>
      <x:c r="I35" s="2"/>
      <x:c r="J35" s="2"/>
    </x:row>
    <x:row r="36" ht="24" customHeight="1">
      <x:c r="A36" s="2" t="str">
        <x:v>Red</x:v>
      </x:c>
      <x:c r="B36" s="2" t="str">
        <x:v>winthrop</x:v>
      </x:c>
      <x:c r="C36" s="13"/>
      <x:c r="D36" s="11" t="str">
        <x:v>Not opened</x:v>
      </x:c>
      <x:c r="E36" s="2" t="str">
        <x:v>Winthrop</x:v>
      </x:c>
      <x:c r="F36" s="12" t="str">
        <x:f>IF(D36="Not opened",IF(C36&lt;&gt;"","Clear reveal number",""),IF(C36="","Enter reveal number",IF(COUNTIFS($C$2:$C$36,C36)&gt;1,"Duplicate reveal number",IF(AND(D36="Active",COUNTIFS($D$2:$D$36,"Active")&gt;1),"Resolve other active challenge",""))))</x:f>
      </x:c>
      <x:c r="G36" s="12" t="str">
        <x:f>IF(D36="Not opened","Not revealed",IF(C36="","Enter reveal number",IF(OR(D36="Failed",D36="Abandoned"),IF(MAX($C$2:$C$36)&gt;C36,"No retry: newer card opened","Check card retry rule"),IF(D36="Succeeded","Completed","Work on this card"))))</x:f>
        <x:v>Not revealed</x:v>
      </x:c>
      <x:c r="H36" s="2"/>
      <x:c r="I36" s="2"/>
      <x:c r="J36" s="2"/>
    </x:row>
  </x:sheetData>
  <x:conditionalFormatting sqref="F2:F36">
    <x:cfRule type="expression" dxfId="10" priority="1">
      <x:formula>LEN(F2)&gt;0</x:formula>
    </x:cfRule>
  </x:conditionalFormatting>
  <x:conditionalFormatting sqref="D2:D36">
    <x:cfRule type="cellIs" dxfId="11" priority="2" operator="equal">
      <x:formula>"Active"</x:formula>
    </x:cfRule>
    <x:cfRule type="cellIs" dxfId="12" priority="3" operator="equal">
      <x:formula>"Failed"</x:formula>
    </x:cfRule>
    <x:cfRule type="cellIs" dxfId="13" priority="4" operator="equal">
      <x:formula>"Succeeded"</x:formula>
    </x:cfRule>
  </x:conditionalFormatting>
  <x:conditionalFormatting sqref="G2:G36">
    <x:cfRule type="containsText" dxfId="14" priority="5" operator="containsText" text="No retry"/>
  </x:conditionalFormatting>
  <x:conditionalFormatting sqref="I2:I2">
    <x:cfRule type="containsText" dxfId="15" priority="6" operator="containsText" text="WARNING"/>
  </x:conditionalFormatting>
  <x:dataValidations count="2">
    <x:dataValidation type="list" sqref="D2:D36">
      <x:formula1>"Not opened,Active,Succeeded,Failed,Abandoned"</x:formula1>
    </x:dataValidation>
    <x:dataValidation type="whole" operator="between" sqref="C2:C36">
      <x:formula1>1</x:formula1>
      <x:formula2>35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80000114440918" hidden="0" customWidth="1"/>
    <x:col min="2" max="2" width="28.1299991607666" hidden="0" customWidth="1"/>
    <x:col min="3" max="3" width="15.630000114440918" hidden="0" customWidth="1"/>
    <x:col min="4" max="4" width="16.8799991607666" hidden="0" customWidth="1"/>
  </x:cols>
  <x:sheetData>
    <x:row r="1" ht="30" customHeight="1">
      <x:c r="A1" s="6" t="str">
        <x:v>team</x:v>
      </x:c>
      <x:c r="B1" s="6" t="str">
        <x:v>territory_id</x:v>
      </x:c>
      <x:c r="C1" s="6" t="str">
        <x:v>reveal_order</x:v>
      </x:c>
      <x:c r="D1" s="6" t="str">
        <x:v>status</x:v>
      </x:c>
    </x:row>
    <x:row r="2" ht="24" customHeight="1">
      <x:c r="A2" s="2" t="str">
        <x:f>IF('Blue'!A2="","",'Blue'!A2)</x:f>
        <x:v>Blue</x:v>
      </x:c>
      <x:c r="B2" s="2" t="str">
        <x:f>IF('Blue'!B2="","",'Blue'!B2)</x:f>
        <x:v>allston</x:v>
      </x:c>
      <x:c r="C2" s="10" t="str">
        <x:f>IF('Blue'!C2="","",'Blue'!C2)</x:f>
      </x:c>
      <x:c r="D2" s="2" t="str">
        <x:f>IF('Blue'!D2="","",'Blue'!D2)</x:f>
        <x:v>Not opened</x:v>
      </x:c>
    </x:row>
    <x:row r="3" ht="24" customHeight="1">
      <x:c r="A3" s="2" t="str">
        <x:f>IF('Blue'!A3="","",'Blue'!A3)</x:f>
        <x:v>Blue</x:v>
      </x:c>
      <x:c r="B3" s="2" t="str">
        <x:f>IF('Blue'!B3="","",'Blue'!B3)</x:f>
        <x:v>back-bay</x:v>
      </x:c>
      <x:c r="C3" s="10" t="str">
        <x:f>IF('Blue'!C3="","",'Blue'!C3)</x:f>
      </x:c>
      <x:c r="D3" s="2" t="str">
        <x:f>IF('Blue'!D3="","",'Blue'!D3)</x:f>
        <x:v>Not opened</x:v>
      </x:c>
    </x:row>
    <x:row r="4" ht="24" customHeight="1">
      <x:c r="A4" s="2" t="str">
        <x:f>IF('Blue'!A4="","",'Blue'!A4)</x:f>
        <x:v>Blue</x:v>
      </x:c>
      <x:c r="B4" s="2" t="str">
        <x:f>IF('Blue'!B4="","",'Blue'!B4)</x:f>
        <x:v>bay-village</x:v>
      </x:c>
      <x:c r="C4" s="10" t="str">
        <x:f>IF('Blue'!C4="","",'Blue'!C4)</x:f>
      </x:c>
      <x:c r="D4" s="2" t="str">
        <x:f>IF('Blue'!D4="","",'Blue'!D4)</x:f>
        <x:v>Not opened</x:v>
      </x:c>
    </x:row>
    <x:row r="5" ht="24" customHeight="1">
      <x:c r="A5" s="2" t="str">
        <x:f>IF('Blue'!A5="","",'Blue'!A5)</x:f>
        <x:v>Blue</x:v>
      </x:c>
      <x:c r="B5" s="2" t="str">
        <x:f>IF('Blue'!B5="","",'Blue'!B5)</x:f>
        <x:v>beacon-hill</x:v>
      </x:c>
      <x:c r="C5" s="10" t="str">
        <x:f>IF('Blue'!C5="","",'Blue'!C5)</x:f>
      </x:c>
      <x:c r="D5" s="2" t="str">
        <x:f>IF('Blue'!D5="","",'Blue'!D5)</x:f>
        <x:v>Not opened</x:v>
      </x:c>
    </x:row>
    <x:row r="6" ht="24" customHeight="1">
      <x:c r="A6" s="2" t="str">
        <x:f>IF('Blue'!A6="","",'Blue'!A6)</x:f>
        <x:v>Blue</x:v>
      </x:c>
      <x:c r="B6" s="2" t="str">
        <x:f>IF('Blue'!B6="","",'Blue'!B6)</x:f>
        <x:v>brighton</x:v>
      </x:c>
      <x:c r="C6" s="10" t="str">
        <x:f>IF('Blue'!C6="","",'Blue'!C6)</x:f>
      </x:c>
      <x:c r="D6" s="2" t="str">
        <x:f>IF('Blue'!D6="","",'Blue'!D6)</x:f>
        <x:v>Not opened</x:v>
      </x:c>
    </x:row>
    <x:row r="7" ht="24" customHeight="1">
      <x:c r="A7" s="2" t="str">
        <x:f>IF('Blue'!A7="","",'Blue'!A7)</x:f>
        <x:v>Blue</x:v>
      </x:c>
      <x:c r="B7" s="2" t="str">
        <x:f>IF('Blue'!B7="","",'Blue'!B7)</x:f>
        <x:v>charlestown</x:v>
      </x:c>
      <x:c r="C7" s="10" t="str">
        <x:f>IF('Blue'!C7="","",'Blue'!C7)</x:f>
      </x:c>
      <x:c r="D7" s="2" t="str">
        <x:f>IF('Blue'!D7="","",'Blue'!D7)</x:f>
        <x:v>Not opened</x:v>
      </x:c>
    </x:row>
    <x:row r="8" ht="24" customHeight="1">
      <x:c r="A8" s="2" t="str">
        <x:f>IF('Blue'!A8="","",'Blue'!A8)</x:f>
        <x:v>Blue</x:v>
      </x:c>
      <x:c r="B8" s="2" t="str">
        <x:f>IF('Blue'!B8="","",'Blue'!B8)</x:f>
        <x:v>chinatown-leather-district</x:v>
      </x:c>
      <x:c r="C8" s="10" t="str">
        <x:f>IF('Blue'!C8="","",'Blue'!C8)</x:f>
      </x:c>
      <x:c r="D8" s="2" t="str">
        <x:f>IF('Blue'!D8="","",'Blue'!D8)</x:f>
        <x:v>Not opened</x:v>
      </x:c>
    </x:row>
    <x:row r="9" ht="24" customHeight="1">
      <x:c r="A9" s="2" t="str">
        <x:f>IF('Blue'!A9="","",'Blue'!A9)</x:f>
        <x:v>Blue</x:v>
      </x:c>
      <x:c r="B9" s="2" t="str">
        <x:f>IF('Blue'!B9="","",'Blue'!B9)</x:f>
        <x:v>dorchester</x:v>
      </x:c>
      <x:c r="C9" s="10" t="str">
        <x:f>IF('Blue'!C9="","",'Blue'!C9)</x:f>
      </x:c>
      <x:c r="D9" s="2" t="str">
        <x:f>IF('Blue'!D9="","",'Blue'!D9)</x:f>
        <x:v>Not opened</x:v>
      </x:c>
    </x:row>
    <x:row r="10" ht="24" customHeight="1">
      <x:c r="A10" s="2" t="str">
        <x:f>IF('Blue'!A10="","",'Blue'!A10)</x:f>
        <x:v>Blue</x:v>
      </x:c>
      <x:c r="B10" s="2" t="str">
        <x:f>IF('Blue'!B10="","",'Blue'!B10)</x:f>
        <x:v>downtown</x:v>
      </x:c>
      <x:c r="C10" s="10" t="str">
        <x:f>IF('Blue'!C10="","",'Blue'!C10)</x:f>
      </x:c>
      <x:c r="D10" s="2" t="str">
        <x:f>IF('Blue'!D10="","",'Blue'!D10)</x:f>
        <x:v>Not opened</x:v>
      </x:c>
    </x:row>
    <x:row r="11" ht="24" customHeight="1">
      <x:c r="A11" s="2" t="str">
        <x:f>IF('Blue'!A11="","",'Blue'!A11)</x:f>
        <x:v>Blue</x:v>
      </x:c>
      <x:c r="B11" s="2" t="str">
        <x:f>IF('Blue'!B11="","",'Blue'!B11)</x:f>
        <x:v>east-boston</x:v>
      </x:c>
      <x:c r="C11" s="10" t="str">
        <x:f>IF('Blue'!C11="","",'Blue'!C11)</x:f>
      </x:c>
      <x:c r="D11" s="2" t="str">
        <x:f>IF('Blue'!D11="","",'Blue'!D11)</x:f>
        <x:v>Not opened</x:v>
      </x:c>
    </x:row>
    <x:row r="12" ht="24" customHeight="1">
      <x:c r="A12" s="2" t="str">
        <x:f>IF('Blue'!A12="","",'Blue'!A12)</x:f>
        <x:v>Blue</x:v>
      </x:c>
      <x:c r="B12" s="2" t="str">
        <x:f>IF('Blue'!B12="","",'Blue'!B12)</x:f>
        <x:v>fenway-kenmore</x:v>
      </x:c>
      <x:c r="C12" s="10" t="str">
        <x:f>IF('Blue'!C12="","",'Blue'!C12)</x:f>
      </x:c>
      <x:c r="D12" s="2" t="str">
        <x:f>IF('Blue'!D12="","",'Blue'!D12)</x:f>
        <x:v>Not opened</x:v>
      </x:c>
    </x:row>
    <x:row r="13" ht="24" customHeight="1">
      <x:c r="A13" s="2" t="str">
        <x:f>IF('Blue'!A13="","",'Blue'!A13)</x:f>
        <x:v>Blue</x:v>
      </x:c>
      <x:c r="B13" s="2" t="str">
        <x:f>IF('Blue'!B13="","",'Blue'!B13)</x:f>
        <x:v>hyde-park</x:v>
      </x:c>
      <x:c r="C13" s="10" t="str">
        <x:f>IF('Blue'!C13="","",'Blue'!C13)</x:f>
      </x:c>
      <x:c r="D13" s="2" t="str">
        <x:f>IF('Blue'!D13="","",'Blue'!D13)</x:f>
        <x:v>Not opened</x:v>
      </x:c>
    </x:row>
    <x:row r="14" ht="24" customHeight="1">
      <x:c r="A14" s="2" t="str">
        <x:f>IF('Blue'!A14="","",'Blue'!A14)</x:f>
        <x:v>Blue</x:v>
      </x:c>
      <x:c r="B14" s="2" t="str">
        <x:f>IF('Blue'!B14="","",'Blue'!B14)</x:f>
        <x:v>jamaica-plain</x:v>
      </x:c>
      <x:c r="C14" s="10" t="str">
        <x:f>IF('Blue'!C14="","",'Blue'!C14)</x:f>
      </x:c>
      <x:c r="D14" s="2" t="str">
        <x:f>IF('Blue'!D14="","",'Blue'!D14)</x:f>
        <x:v>Not opened</x:v>
      </x:c>
    </x:row>
    <x:row r="15" ht="24" customHeight="1">
      <x:c r="A15" s="2" t="str">
        <x:f>IF('Blue'!A15="","",'Blue'!A15)</x:f>
        <x:v>Blue</x:v>
      </x:c>
      <x:c r="B15" s="2" t="str">
        <x:f>IF('Blue'!B15="","",'Blue'!B15)</x:f>
        <x:v>mattapan</x:v>
      </x:c>
      <x:c r="C15" s="10" t="str">
        <x:f>IF('Blue'!C15="","",'Blue'!C15)</x:f>
      </x:c>
      <x:c r="D15" s="2" t="str">
        <x:f>IF('Blue'!D15="","",'Blue'!D15)</x:f>
        <x:v>Not opened</x:v>
      </x:c>
    </x:row>
    <x:row r="16" ht="24" customHeight="1">
      <x:c r="A16" s="2" t="str">
        <x:f>IF('Blue'!A16="","",'Blue'!A16)</x:f>
        <x:v>Blue</x:v>
      </x:c>
      <x:c r="B16" s="2" t="str">
        <x:f>IF('Blue'!B16="","",'Blue'!B16)</x:f>
        <x:v>mission-hill</x:v>
      </x:c>
      <x:c r="C16" s="10" t="str">
        <x:f>IF('Blue'!C16="","",'Blue'!C16)</x:f>
      </x:c>
      <x:c r="D16" s="2" t="str">
        <x:f>IF('Blue'!D16="","",'Blue'!D16)</x:f>
        <x:v>Not opened</x:v>
      </x:c>
    </x:row>
    <x:row r="17" ht="24" customHeight="1">
      <x:c r="A17" s="2" t="str">
        <x:f>IF('Blue'!A17="","",'Blue'!A17)</x:f>
        <x:v>Blue</x:v>
      </x:c>
      <x:c r="B17" s="2" t="str">
        <x:f>IF('Blue'!B17="","",'Blue'!B17)</x:f>
        <x:v>north-end</x:v>
      </x:c>
      <x:c r="C17" s="10" t="str">
        <x:f>IF('Blue'!C17="","",'Blue'!C17)</x:f>
      </x:c>
      <x:c r="D17" s="2" t="str">
        <x:f>IF('Blue'!D17="","",'Blue'!D17)</x:f>
        <x:v>Not opened</x:v>
      </x:c>
    </x:row>
    <x:row r="18" ht="24" customHeight="1">
      <x:c r="A18" s="2" t="str">
        <x:f>IF('Blue'!A18="","",'Blue'!A18)</x:f>
        <x:v>Blue</x:v>
      </x:c>
      <x:c r="B18" s="2" t="str">
        <x:f>IF('Blue'!B18="","",'Blue'!B18)</x:f>
        <x:v>roslindale</x:v>
      </x:c>
      <x:c r="C18" s="10" t="str">
        <x:f>IF('Blue'!C18="","",'Blue'!C18)</x:f>
      </x:c>
      <x:c r="D18" s="2" t="str">
        <x:f>IF('Blue'!D18="","",'Blue'!D18)</x:f>
        <x:v>Not opened</x:v>
      </x:c>
    </x:row>
    <x:row r="19" ht="24" customHeight="1">
      <x:c r="A19" s="2" t="str">
        <x:f>IF('Blue'!A19="","",'Blue'!A19)</x:f>
        <x:v>Blue</x:v>
      </x:c>
      <x:c r="B19" s="2" t="str">
        <x:f>IF('Blue'!B19="","",'Blue'!B19)</x:f>
        <x:v>roxbury</x:v>
      </x:c>
      <x:c r="C19" s="10" t="str">
        <x:f>IF('Blue'!C19="","",'Blue'!C19)</x:f>
      </x:c>
      <x:c r="D19" s="2" t="str">
        <x:f>IF('Blue'!D19="","",'Blue'!D19)</x:f>
        <x:v>Not opened</x:v>
      </x:c>
    </x:row>
    <x:row r="20" ht="24" customHeight="1">
      <x:c r="A20" s="2" t="str">
        <x:f>IF('Blue'!A20="","",'Blue'!A20)</x:f>
        <x:v>Blue</x:v>
      </x:c>
      <x:c r="B20" s="2" t="str">
        <x:f>IF('Blue'!B20="","",'Blue'!B20)</x:f>
        <x:v>south-boston</x:v>
      </x:c>
      <x:c r="C20" s="10" t="str">
        <x:f>IF('Blue'!C20="","",'Blue'!C20)</x:f>
      </x:c>
      <x:c r="D20" s="2" t="str">
        <x:f>IF('Blue'!D20="","",'Blue'!D20)</x:f>
        <x:v>Not opened</x:v>
      </x:c>
    </x:row>
    <x:row r="21" ht="24" customHeight="1">
      <x:c r="A21" s="2" t="str">
        <x:f>IF('Blue'!A21="","",'Blue'!A21)</x:f>
        <x:v>Blue</x:v>
      </x:c>
      <x:c r="B21" s="2" t="str">
        <x:f>IF('Blue'!B21="","",'Blue'!B21)</x:f>
        <x:v>south-end</x:v>
      </x:c>
      <x:c r="C21" s="10" t="str">
        <x:f>IF('Blue'!C21="","",'Blue'!C21)</x:f>
      </x:c>
      <x:c r="D21" s="2" t="str">
        <x:f>IF('Blue'!D21="","",'Blue'!D21)</x:f>
        <x:v>Not opened</x:v>
      </x:c>
    </x:row>
    <x:row r="22" ht="24" customHeight="1">
      <x:c r="A22" s="2" t="str">
        <x:f>IF('Blue'!A22="","",'Blue'!A22)</x:f>
        <x:v>Blue</x:v>
      </x:c>
      <x:c r="B22" s="2" t="str">
        <x:f>IF('Blue'!B22="","",'Blue'!B22)</x:f>
        <x:v>west-end</x:v>
      </x:c>
      <x:c r="C22" s="10" t="str">
        <x:f>IF('Blue'!C22="","",'Blue'!C22)</x:f>
      </x:c>
      <x:c r="D22" s="2" t="str">
        <x:f>IF('Blue'!D22="","",'Blue'!D22)</x:f>
        <x:v>Not opened</x:v>
      </x:c>
    </x:row>
    <x:row r="23" ht="24" customHeight="1">
      <x:c r="A23" s="2" t="str">
        <x:f>IF('Blue'!A23="","",'Blue'!A23)</x:f>
        <x:v>Blue</x:v>
      </x:c>
      <x:c r="B23" s="2" t="str">
        <x:f>IF('Blue'!B23="","",'Blue'!B23)</x:f>
        <x:v>west-roxbury</x:v>
      </x:c>
      <x:c r="C23" s="10" t="str">
        <x:f>IF('Blue'!C23="","",'Blue'!C23)</x:f>
      </x:c>
      <x:c r="D23" s="2" t="str">
        <x:f>IF('Blue'!D23="","",'Blue'!D23)</x:f>
        <x:v>Not opened</x:v>
      </x:c>
    </x:row>
    <x:row r="24" ht="24" customHeight="1">
      <x:c r="A24" s="2" t="str">
        <x:f>IF('Blue'!A24="","",'Blue'!A24)</x:f>
        <x:v>Blue</x:v>
      </x:c>
      <x:c r="B24" s="2" t="str">
        <x:f>IF('Blue'!B24="","",'Blue'!B24)</x:f>
        <x:v>seaport</x:v>
      </x:c>
      <x:c r="C24" s="10" t="str">
        <x:f>IF('Blue'!C24="","",'Blue'!C24)</x:f>
      </x:c>
      <x:c r="D24" s="2" t="str">
        <x:f>IF('Blue'!D24="","",'Blue'!D24)</x:f>
        <x:v>Not opened</x:v>
      </x:c>
    </x:row>
    <x:row r="25" ht="24" customHeight="1">
      <x:c r="A25" s="2" t="str">
        <x:f>IF('Blue'!A25="","",'Blue'!A25)</x:f>
        <x:v>Blue</x:v>
      </x:c>
      <x:c r="B25" s="2" t="str">
        <x:f>IF('Blue'!B25="","",'Blue'!B25)</x:f>
        <x:v>cambridge</x:v>
      </x:c>
      <x:c r="C25" s="10" t="str">
        <x:f>IF('Blue'!C25="","",'Blue'!C25)</x:f>
      </x:c>
      <x:c r="D25" s="2" t="str">
        <x:f>IF('Blue'!D25="","",'Blue'!D25)</x:f>
        <x:v>Not opened</x:v>
      </x:c>
    </x:row>
    <x:row r="26" ht="24" customHeight="1">
      <x:c r="A26" s="2" t="str">
        <x:f>IF('Blue'!A26="","",'Blue'!A26)</x:f>
        <x:v>Blue</x:v>
      </x:c>
      <x:c r="B26" s="2" t="str">
        <x:f>IF('Blue'!B26="","",'Blue'!B26)</x:f>
        <x:v>somerville</x:v>
      </x:c>
      <x:c r="C26" s="10" t="str">
        <x:f>IF('Blue'!C26="","",'Blue'!C26)</x:f>
      </x:c>
      <x:c r="D26" s="2" t="str">
        <x:f>IF('Blue'!D26="","",'Blue'!D26)</x:f>
        <x:v>Not opened</x:v>
      </x:c>
    </x:row>
    <x:row r="27" ht="24" customHeight="1">
      <x:c r="A27" s="2" t="str">
        <x:f>IF('Blue'!A27="","",'Blue'!A27)</x:f>
        <x:v>Blue</x:v>
      </x:c>
      <x:c r="B27" s="2" t="str">
        <x:f>IF('Blue'!B27="","",'Blue'!B27)</x:f>
        <x:v>everett</x:v>
      </x:c>
      <x:c r="C27" s="10" t="str">
        <x:f>IF('Blue'!C27="","",'Blue'!C27)</x:f>
      </x:c>
      <x:c r="D27" s="2" t="str">
        <x:f>IF('Blue'!D27="","",'Blue'!D27)</x:f>
        <x:v>Not opened</x:v>
      </x:c>
    </x:row>
    <x:row r="28" ht="24" customHeight="1">
      <x:c r="A28" s="2" t="str">
        <x:f>IF('Blue'!A28="","",'Blue'!A28)</x:f>
        <x:v>Blue</x:v>
      </x:c>
      <x:c r="B28" s="2" t="str">
        <x:f>IF('Blue'!B28="","",'Blue'!B28)</x:f>
        <x:v>chelsea</x:v>
      </x:c>
      <x:c r="C28" s="10" t="str">
        <x:f>IF('Blue'!C28="","",'Blue'!C28)</x:f>
      </x:c>
      <x:c r="D28" s="2" t="str">
        <x:f>IF('Blue'!D28="","",'Blue'!D28)</x:f>
        <x:v>Not opened</x:v>
      </x:c>
    </x:row>
    <x:row r="29" ht="24" customHeight="1">
      <x:c r="A29" s="2" t="str">
        <x:f>IF('Blue'!A29="","",'Blue'!A29)</x:f>
        <x:v>Blue</x:v>
      </x:c>
      <x:c r="B29" s="2" t="str">
        <x:f>IF('Blue'!B29="","",'Blue'!B29)</x:f>
        <x:v>revere</x:v>
      </x:c>
      <x:c r="C29" s="10" t="str">
        <x:f>IF('Blue'!C29="","",'Blue'!C29)</x:f>
      </x:c>
      <x:c r="D29" s="2" t="str">
        <x:f>IF('Blue'!D29="","",'Blue'!D29)</x:f>
        <x:v>Not opened</x:v>
      </x:c>
    </x:row>
    <x:row r="30" ht="24" customHeight="1">
      <x:c r="A30" s="2" t="str">
        <x:f>IF('Blue'!A30="","",'Blue'!A30)</x:f>
        <x:v>Blue</x:v>
      </x:c>
      <x:c r="B30" s="2" t="str">
        <x:f>IF('Blue'!B30="","",'Blue'!B30)</x:f>
        <x:v>malden</x:v>
      </x:c>
      <x:c r="C30" s="10" t="str">
        <x:f>IF('Blue'!C30="","",'Blue'!C30)</x:f>
      </x:c>
      <x:c r="D30" s="2" t="str">
        <x:f>IF('Blue'!D30="","",'Blue'!D30)</x:f>
        <x:v>Not opened</x:v>
      </x:c>
    </x:row>
    <x:row r="31" ht="24" customHeight="1">
      <x:c r="A31" s="2" t="str">
        <x:f>IF('Blue'!A31="","",'Blue'!A31)</x:f>
        <x:v>Blue</x:v>
      </x:c>
      <x:c r="B31" s="2" t="str">
        <x:f>IF('Blue'!B31="","",'Blue'!B31)</x:f>
        <x:v>medford</x:v>
      </x:c>
      <x:c r="C31" s="10" t="str">
        <x:f>IF('Blue'!C31="","",'Blue'!C31)</x:f>
      </x:c>
      <x:c r="D31" s="2" t="str">
        <x:f>IF('Blue'!D31="","",'Blue'!D31)</x:f>
        <x:v>Not opened</x:v>
      </x:c>
    </x:row>
    <x:row r="32" ht="24" customHeight="1">
      <x:c r="A32" s="2" t="str">
        <x:f>IF('Blue'!A32="","",'Blue'!A32)</x:f>
        <x:v>Blue</x:v>
      </x:c>
      <x:c r="B32" s="2" t="str">
        <x:f>IF('Blue'!B32="","",'Blue'!B32)</x:f>
        <x:v>brookline</x:v>
      </x:c>
      <x:c r="C32" s="10" t="str">
        <x:f>IF('Blue'!C32="","",'Blue'!C32)</x:f>
      </x:c>
      <x:c r="D32" s="2" t="str">
        <x:f>IF('Blue'!D32="","",'Blue'!D32)</x:f>
        <x:v>Not opened</x:v>
      </x:c>
    </x:row>
    <x:row r="33" ht="24" customHeight="1">
      <x:c r="A33" s="2" t="str">
        <x:f>IF('Blue'!A33="","",'Blue'!A33)</x:f>
        <x:v>Blue</x:v>
      </x:c>
      <x:c r="B33" s="2" t="str">
        <x:f>IF('Blue'!B33="","",'Blue'!B33)</x:f>
        <x:v>newton</x:v>
      </x:c>
      <x:c r="C33" s="10" t="str">
        <x:f>IF('Blue'!C33="","",'Blue'!C33)</x:f>
      </x:c>
      <x:c r="D33" s="2" t="str">
        <x:f>IF('Blue'!D33="","",'Blue'!D33)</x:f>
        <x:v>Not opened</x:v>
      </x:c>
    </x:row>
    <x:row r="34" ht="24" customHeight="1">
      <x:c r="A34" s="2" t="str">
        <x:f>IF('Blue'!A34="","",'Blue'!A34)</x:f>
        <x:v>Blue</x:v>
      </x:c>
      <x:c r="B34" s="2" t="str">
        <x:f>IF('Blue'!B34="","",'Blue'!B34)</x:f>
        <x:v>quincy</x:v>
      </x:c>
      <x:c r="C34" s="10" t="str">
        <x:f>IF('Blue'!C34="","",'Blue'!C34)</x:f>
      </x:c>
      <x:c r="D34" s="2" t="str">
        <x:f>IF('Blue'!D34="","",'Blue'!D34)</x:f>
        <x:v>Not opened</x:v>
      </x:c>
    </x:row>
    <x:row r="35" ht="24" customHeight="1">
      <x:c r="A35" s="2" t="str">
        <x:f>IF('Blue'!A35="","",'Blue'!A35)</x:f>
        <x:v>Blue</x:v>
      </x:c>
      <x:c r="B35" s="2" t="str">
        <x:f>IF('Blue'!B35="","",'Blue'!B35)</x:f>
        <x:v>braintree</x:v>
      </x:c>
      <x:c r="C35" s="10" t="str">
        <x:f>IF('Blue'!C35="","",'Blue'!C35)</x:f>
      </x:c>
      <x:c r="D35" s="2" t="str">
        <x:f>IF('Blue'!D35="","",'Blue'!D35)</x:f>
        <x:v>Not opened</x:v>
      </x:c>
    </x:row>
    <x:row r="36" ht="24" customHeight="1">
      <x:c r="A36" s="2" t="str">
        <x:f>IF('Blue'!A36="","",'Blue'!A36)</x:f>
        <x:v>Blue</x:v>
      </x:c>
      <x:c r="B36" s="2" t="str">
        <x:f>IF('Blue'!B36="","",'Blue'!B36)</x:f>
        <x:v>winthrop</x:v>
      </x:c>
      <x:c r="C36" s="10" t="str">
        <x:f>IF('Blue'!C36="","",'Blue'!C36)</x:f>
      </x:c>
      <x:c r="D36" s="2" t="str">
        <x:f>IF('Blue'!D36="","",'Blue'!D36)</x:f>
        <x:v>Not opened</x:v>
      </x:c>
    </x:row>
    <x:row r="37" ht="24" customHeight="1">
      <x:c r="A37" s="2" t="str">
        <x:f>IF('Red'!A2="","",'Red'!A2)</x:f>
        <x:v>Red</x:v>
      </x:c>
      <x:c r="B37" s="2" t="str">
        <x:f>IF('Red'!B2="","",'Red'!B2)</x:f>
        <x:v>allston</x:v>
      </x:c>
      <x:c r="C37" s="10" t="str">
        <x:f>IF('Red'!C2="","",'Red'!C2)</x:f>
      </x:c>
      <x:c r="D37" s="2" t="str">
        <x:f>IF('Red'!D2="","",'Red'!D2)</x:f>
        <x:v>Not opened</x:v>
      </x:c>
    </x:row>
    <x:row r="38" ht="24" customHeight="1">
      <x:c r="A38" s="2" t="str">
        <x:f>IF('Red'!A3="","",'Red'!A3)</x:f>
        <x:v>Red</x:v>
      </x:c>
      <x:c r="B38" s="2" t="str">
        <x:f>IF('Red'!B3="","",'Red'!B3)</x:f>
        <x:v>back-bay</x:v>
      </x:c>
      <x:c r="C38" s="10" t="str">
        <x:f>IF('Red'!C3="","",'Red'!C3)</x:f>
      </x:c>
      <x:c r="D38" s="2" t="str">
        <x:f>IF('Red'!D3="","",'Red'!D3)</x:f>
        <x:v>Not opened</x:v>
      </x:c>
    </x:row>
    <x:row r="39" ht="24" customHeight="1">
      <x:c r="A39" s="2" t="str">
        <x:f>IF('Red'!A4="","",'Red'!A4)</x:f>
        <x:v>Red</x:v>
      </x:c>
      <x:c r="B39" s="2" t="str">
        <x:f>IF('Red'!B4="","",'Red'!B4)</x:f>
        <x:v>bay-village</x:v>
      </x:c>
      <x:c r="C39" s="10" t="str">
        <x:f>IF('Red'!C4="","",'Red'!C4)</x:f>
      </x:c>
      <x:c r="D39" s="2" t="str">
        <x:f>IF('Red'!D4="","",'Red'!D4)</x:f>
        <x:v>Not opened</x:v>
      </x:c>
    </x:row>
    <x:row r="40" ht="24" customHeight="1">
      <x:c r="A40" s="2" t="str">
        <x:f>IF('Red'!A5="","",'Red'!A5)</x:f>
        <x:v>Red</x:v>
      </x:c>
      <x:c r="B40" s="2" t="str">
        <x:f>IF('Red'!B5="","",'Red'!B5)</x:f>
        <x:v>beacon-hill</x:v>
      </x:c>
      <x:c r="C40" s="10" t="str">
        <x:f>IF('Red'!C5="","",'Red'!C5)</x:f>
      </x:c>
      <x:c r="D40" s="2" t="str">
        <x:f>IF('Red'!D5="","",'Red'!D5)</x:f>
        <x:v>Not opened</x:v>
      </x:c>
    </x:row>
    <x:row r="41" ht="24" customHeight="1">
      <x:c r="A41" s="2" t="str">
        <x:f>IF('Red'!A6="","",'Red'!A6)</x:f>
        <x:v>Red</x:v>
      </x:c>
      <x:c r="B41" s="2" t="str">
        <x:f>IF('Red'!B6="","",'Red'!B6)</x:f>
        <x:v>brighton</x:v>
      </x:c>
      <x:c r="C41" s="10" t="str">
        <x:f>IF('Red'!C6="","",'Red'!C6)</x:f>
      </x:c>
      <x:c r="D41" s="2" t="str">
        <x:f>IF('Red'!D6="","",'Red'!D6)</x:f>
        <x:v>Not opened</x:v>
      </x:c>
    </x:row>
    <x:row r="42" ht="24" customHeight="1">
      <x:c r="A42" s="2" t="str">
        <x:f>IF('Red'!A7="","",'Red'!A7)</x:f>
        <x:v>Red</x:v>
      </x:c>
      <x:c r="B42" s="2" t="str">
        <x:f>IF('Red'!B7="","",'Red'!B7)</x:f>
        <x:v>charlestown</x:v>
      </x:c>
      <x:c r="C42" s="10" t="str">
        <x:f>IF('Red'!C7="","",'Red'!C7)</x:f>
      </x:c>
      <x:c r="D42" s="2" t="str">
        <x:f>IF('Red'!D7="","",'Red'!D7)</x:f>
        <x:v>Not opened</x:v>
      </x:c>
    </x:row>
    <x:row r="43" ht="24" customHeight="1">
      <x:c r="A43" s="2" t="str">
        <x:f>IF('Red'!A8="","",'Red'!A8)</x:f>
        <x:v>Red</x:v>
      </x:c>
      <x:c r="B43" s="2" t="str">
        <x:f>IF('Red'!B8="","",'Red'!B8)</x:f>
        <x:v>chinatown-leather-district</x:v>
      </x:c>
      <x:c r="C43" s="10" t="str">
        <x:f>IF('Red'!C8="","",'Red'!C8)</x:f>
      </x:c>
      <x:c r="D43" s="2" t="str">
        <x:f>IF('Red'!D8="","",'Red'!D8)</x:f>
        <x:v>Not opened</x:v>
      </x:c>
    </x:row>
    <x:row r="44" ht="24" customHeight="1">
      <x:c r="A44" s="2" t="str">
        <x:f>IF('Red'!A9="","",'Red'!A9)</x:f>
        <x:v>Red</x:v>
      </x:c>
      <x:c r="B44" s="2" t="str">
        <x:f>IF('Red'!B9="","",'Red'!B9)</x:f>
        <x:v>dorchester</x:v>
      </x:c>
      <x:c r="C44" s="10" t="str">
        <x:f>IF('Red'!C9="","",'Red'!C9)</x:f>
      </x:c>
      <x:c r="D44" s="2" t="str">
        <x:f>IF('Red'!D9="","",'Red'!D9)</x:f>
        <x:v>Not opened</x:v>
      </x:c>
    </x:row>
    <x:row r="45" ht="24" customHeight="1">
      <x:c r="A45" s="2" t="str">
        <x:f>IF('Red'!A10="","",'Red'!A10)</x:f>
        <x:v>Red</x:v>
      </x:c>
      <x:c r="B45" s="2" t="str">
        <x:f>IF('Red'!B10="","",'Red'!B10)</x:f>
        <x:v>downtown</x:v>
      </x:c>
      <x:c r="C45" s="10" t="str">
        <x:f>IF('Red'!C10="","",'Red'!C10)</x:f>
      </x:c>
      <x:c r="D45" s="2" t="str">
        <x:f>IF('Red'!D10="","",'Red'!D10)</x:f>
        <x:v>Not opened</x:v>
      </x:c>
    </x:row>
    <x:row r="46" ht="24" customHeight="1">
      <x:c r="A46" s="2" t="str">
        <x:f>IF('Red'!A11="","",'Red'!A11)</x:f>
        <x:v>Red</x:v>
      </x:c>
      <x:c r="B46" s="2" t="str">
        <x:f>IF('Red'!B11="","",'Red'!B11)</x:f>
        <x:v>east-boston</x:v>
      </x:c>
      <x:c r="C46" s="10" t="str">
        <x:f>IF('Red'!C11="","",'Red'!C11)</x:f>
      </x:c>
      <x:c r="D46" s="2" t="str">
        <x:f>IF('Red'!D11="","",'Red'!D11)</x:f>
        <x:v>Not opened</x:v>
      </x:c>
    </x:row>
    <x:row r="47" ht="24" customHeight="1">
      <x:c r="A47" s="2" t="str">
        <x:f>IF('Red'!A12="","",'Red'!A12)</x:f>
        <x:v>Red</x:v>
      </x:c>
      <x:c r="B47" s="2" t="str">
        <x:f>IF('Red'!B12="","",'Red'!B12)</x:f>
        <x:v>fenway-kenmore</x:v>
      </x:c>
      <x:c r="C47" s="10" t="str">
        <x:f>IF('Red'!C12="","",'Red'!C12)</x:f>
      </x:c>
      <x:c r="D47" s="2" t="str">
        <x:f>IF('Red'!D12="","",'Red'!D12)</x:f>
        <x:v>Not opened</x:v>
      </x:c>
    </x:row>
    <x:row r="48" ht="24" customHeight="1">
      <x:c r="A48" s="2" t="str">
        <x:f>IF('Red'!A13="","",'Red'!A13)</x:f>
        <x:v>Red</x:v>
      </x:c>
      <x:c r="B48" s="2" t="str">
        <x:f>IF('Red'!B13="","",'Red'!B13)</x:f>
        <x:v>hyde-park</x:v>
      </x:c>
      <x:c r="C48" s="10" t="str">
        <x:f>IF('Red'!C13="","",'Red'!C13)</x:f>
      </x:c>
      <x:c r="D48" s="2" t="str">
        <x:f>IF('Red'!D13="","",'Red'!D13)</x:f>
        <x:v>Not opened</x:v>
      </x:c>
    </x:row>
    <x:row r="49" ht="24" customHeight="1">
      <x:c r="A49" s="2" t="str">
        <x:f>IF('Red'!A14="","",'Red'!A14)</x:f>
        <x:v>Red</x:v>
      </x:c>
      <x:c r="B49" s="2" t="str">
        <x:f>IF('Red'!B14="","",'Red'!B14)</x:f>
        <x:v>jamaica-plain</x:v>
      </x:c>
      <x:c r="C49" s="10" t="str">
        <x:f>IF('Red'!C14="","",'Red'!C14)</x:f>
      </x:c>
      <x:c r="D49" s="2" t="str">
        <x:f>IF('Red'!D14="","",'Red'!D14)</x:f>
        <x:v>Not opened</x:v>
      </x:c>
    </x:row>
    <x:row r="50" ht="24" customHeight="1">
      <x:c r="A50" s="2" t="str">
        <x:f>IF('Red'!A15="","",'Red'!A15)</x:f>
        <x:v>Red</x:v>
      </x:c>
      <x:c r="B50" s="2" t="str">
        <x:f>IF('Red'!B15="","",'Red'!B15)</x:f>
        <x:v>mattapan</x:v>
      </x:c>
      <x:c r="C50" s="10" t="str">
        <x:f>IF('Red'!C15="","",'Red'!C15)</x:f>
      </x:c>
      <x:c r="D50" s="2" t="str">
        <x:f>IF('Red'!D15="","",'Red'!D15)</x:f>
        <x:v>Not opened</x:v>
      </x:c>
    </x:row>
    <x:row r="51" ht="24" customHeight="1">
      <x:c r="A51" s="2" t="str">
        <x:f>IF('Red'!A16="","",'Red'!A16)</x:f>
        <x:v>Red</x:v>
      </x:c>
      <x:c r="B51" s="2" t="str">
        <x:f>IF('Red'!B16="","",'Red'!B16)</x:f>
        <x:v>mission-hill</x:v>
      </x:c>
      <x:c r="C51" s="10" t="str">
        <x:f>IF('Red'!C16="","",'Red'!C16)</x:f>
      </x:c>
      <x:c r="D51" s="2" t="str">
        <x:f>IF('Red'!D16="","",'Red'!D16)</x:f>
        <x:v>Not opened</x:v>
      </x:c>
    </x:row>
    <x:row r="52" ht="24" customHeight="1">
      <x:c r="A52" s="2" t="str">
        <x:f>IF('Red'!A17="","",'Red'!A17)</x:f>
        <x:v>Red</x:v>
      </x:c>
      <x:c r="B52" s="2" t="str">
        <x:f>IF('Red'!B17="","",'Red'!B17)</x:f>
        <x:v>north-end</x:v>
      </x:c>
      <x:c r="C52" s="10" t="str">
        <x:f>IF('Red'!C17="","",'Red'!C17)</x:f>
      </x:c>
      <x:c r="D52" s="2" t="str">
        <x:f>IF('Red'!D17="","",'Red'!D17)</x:f>
        <x:v>Not opened</x:v>
      </x:c>
    </x:row>
    <x:row r="53" ht="24" customHeight="1">
      <x:c r="A53" s="2" t="str">
        <x:f>IF('Red'!A18="","",'Red'!A18)</x:f>
        <x:v>Red</x:v>
      </x:c>
      <x:c r="B53" s="2" t="str">
        <x:f>IF('Red'!B18="","",'Red'!B18)</x:f>
        <x:v>roslindale</x:v>
      </x:c>
      <x:c r="C53" s="10" t="str">
        <x:f>IF('Red'!C18="","",'Red'!C18)</x:f>
      </x:c>
      <x:c r="D53" s="2" t="str">
        <x:f>IF('Red'!D18="","",'Red'!D18)</x:f>
        <x:v>Not opened</x:v>
      </x:c>
    </x:row>
    <x:row r="54" ht="24" customHeight="1">
      <x:c r="A54" s="2" t="str">
        <x:f>IF('Red'!A19="","",'Red'!A19)</x:f>
        <x:v>Red</x:v>
      </x:c>
      <x:c r="B54" s="2" t="str">
        <x:f>IF('Red'!B19="","",'Red'!B19)</x:f>
        <x:v>roxbury</x:v>
      </x:c>
      <x:c r="C54" s="10" t="str">
        <x:f>IF('Red'!C19="","",'Red'!C19)</x:f>
      </x:c>
      <x:c r="D54" s="2" t="str">
        <x:f>IF('Red'!D19="","",'Red'!D19)</x:f>
        <x:v>Not opened</x:v>
      </x:c>
    </x:row>
    <x:row r="55" ht="24" customHeight="1">
      <x:c r="A55" s="2" t="str">
        <x:f>IF('Red'!A20="","",'Red'!A20)</x:f>
        <x:v>Red</x:v>
      </x:c>
      <x:c r="B55" s="2" t="str">
        <x:f>IF('Red'!B20="","",'Red'!B20)</x:f>
        <x:v>south-boston</x:v>
      </x:c>
      <x:c r="C55" s="10" t="str">
        <x:f>IF('Red'!C20="","",'Red'!C20)</x:f>
      </x:c>
      <x:c r="D55" s="2" t="str">
        <x:f>IF('Red'!D20="","",'Red'!D20)</x:f>
        <x:v>Not opened</x:v>
      </x:c>
    </x:row>
    <x:row r="56" ht="24" customHeight="1">
      <x:c r="A56" s="2" t="str">
        <x:f>IF('Red'!A21="","",'Red'!A21)</x:f>
        <x:v>Red</x:v>
      </x:c>
      <x:c r="B56" s="2" t="str">
        <x:f>IF('Red'!B21="","",'Red'!B21)</x:f>
        <x:v>south-end</x:v>
      </x:c>
      <x:c r="C56" s="10" t="str">
        <x:f>IF('Red'!C21="","",'Red'!C21)</x:f>
      </x:c>
      <x:c r="D56" s="2" t="str">
        <x:f>IF('Red'!D21="","",'Red'!D21)</x:f>
        <x:v>Not opened</x:v>
      </x:c>
    </x:row>
    <x:row r="57" ht="24" customHeight="1">
      <x:c r="A57" s="2" t="str">
        <x:f>IF('Red'!A22="","",'Red'!A22)</x:f>
        <x:v>Red</x:v>
      </x:c>
      <x:c r="B57" s="2" t="str">
        <x:f>IF('Red'!B22="","",'Red'!B22)</x:f>
        <x:v>west-end</x:v>
      </x:c>
      <x:c r="C57" s="10" t="str">
        <x:f>IF('Red'!C22="","",'Red'!C22)</x:f>
      </x:c>
      <x:c r="D57" s="2" t="str">
        <x:f>IF('Red'!D22="","",'Red'!D22)</x:f>
        <x:v>Not opened</x:v>
      </x:c>
    </x:row>
    <x:row r="58" ht="24" customHeight="1">
      <x:c r="A58" s="2" t="str">
        <x:f>IF('Red'!A23="","",'Red'!A23)</x:f>
        <x:v>Red</x:v>
      </x:c>
      <x:c r="B58" s="2" t="str">
        <x:f>IF('Red'!B23="","",'Red'!B23)</x:f>
        <x:v>west-roxbury</x:v>
      </x:c>
      <x:c r="C58" s="10" t="str">
        <x:f>IF('Red'!C23="","",'Red'!C23)</x:f>
      </x:c>
      <x:c r="D58" s="2" t="str">
        <x:f>IF('Red'!D23="","",'Red'!D23)</x:f>
        <x:v>Not opened</x:v>
      </x:c>
    </x:row>
    <x:row r="59" ht="24" customHeight="1">
      <x:c r="A59" s="2" t="str">
        <x:f>IF('Red'!A24="","",'Red'!A24)</x:f>
        <x:v>Red</x:v>
      </x:c>
      <x:c r="B59" s="2" t="str">
        <x:f>IF('Red'!B24="","",'Red'!B24)</x:f>
        <x:v>seaport</x:v>
      </x:c>
      <x:c r="C59" s="10" t="str">
        <x:f>IF('Red'!C24="","",'Red'!C24)</x:f>
      </x:c>
      <x:c r="D59" s="2" t="str">
        <x:f>IF('Red'!D24="","",'Red'!D24)</x:f>
        <x:v>Not opened</x:v>
      </x:c>
    </x:row>
    <x:row r="60" ht="24" customHeight="1">
      <x:c r="A60" s="2" t="str">
        <x:f>IF('Red'!A25="","",'Red'!A25)</x:f>
        <x:v>Red</x:v>
      </x:c>
      <x:c r="B60" s="2" t="str">
        <x:f>IF('Red'!B25="","",'Red'!B25)</x:f>
        <x:v>cambridge</x:v>
      </x:c>
      <x:c r="C60" s="10" t="str">
        <x:f>IF('Red'!C25="","",'Red'!C25)</x:f>
      </x:c>
      <x:c r="D60" s="2" t="str">
        <x:f>IF('Red'!D25="","",'Red'!D25)</x:f>
        <x:v>Not opened</x:v>
      </x:c>
    </x:row>
    <x:row r="61" ht="24" customHeight="1">
      <x:c r="A61" s="2" t="str">
        <x:f>IF('Red'!A26="","",'Red'!A26)</x:f>
        <x:v>Red</x:v>
      </x:c>
      <x:c r="B61" s="2" t="str">
        <x:f>IF('Red'!B26="","",'Red'!B26)</x:f>
        <x:v>somerville</x:v>
      </x:c>
      <x:c r="C61" s="10" t="str">
        <x:f>IF('Red'!C26="","",'Red'!C26)</x:f>
      </x:c>
      <x:c r="D61" s="2" t="str">
        <x:f>IF('Red'!D26="","",'Red'!D26)</x:f>
        <x:v>Not opened</x:v>
      </x:c>
    </x:row>
    <x:row r="62" ht="24" customHeight="1">
      <x:c r="A62" s="2" t="str">
        <x:f>IF('Red'!A27="","",'Red'!A27)</x:f>
        <x:v>Red</x:v>
      </x:c>
      <x:c r="B62" s="2" t="str">
        <x:f>IF('Red'!B27="","",'Red'!B27)</x:f>
        <x:v>everett</x:v>
      </x:c>
      <x:c r="C62" s="10" t="str">
        <x:f>IF('Red'!C27="","",'Red'!C27)</x:f>
      </x:c>
      <x:c r="D62" s="2" t="str">
        <x:f>IF('Red'!D27="","",'Red'!D27)</x:f>
        <x:v>Not opened</x:v>
      </x:c>
    </x:row>
    <x:row r="63" ht="24" customHeight="1">
      <x:c r="A63" s="2" t="str">
        <x:f>IF('Red'!A28="","",'Red'!A28)</x:f>
        <x:v>Red</x:v>
      </x:c>
      <x:c r="B63" s="2" t="str">
        <x:f>IF('Red'!B28="","",'Red'!B28)</x:f>
        <x:v>chelsea</x:v>
      </x:c>
      <x:c r="C63" s="10" t="str">
        <x:f>IF('Red'!C28="","",'Red'!C28)</x:f>
      </x:c>
      <x:c r="D63" s="2" t="str">
        <x:f>IF('Red'!D28="","",'Red'!D28)</x:f>
        <x:v>Not opened</x:v>
      </x:c>
    </x:row>
    <x:row r="64" ht="24" customHeight="1">
      <x:c r="A64" s="2" t="str">
        <x:f>IF('Red'!A29="","",'Red'!A29)</x:f>
        <x:v>Red</x:v>
      </x:c>
      <x:c r="B64" s="2" t="str">
        <x:f>IF('Red'!B29="","",'Red'!B29)</x:f>
        <x:v>revere</x:v>
      </x:c>
      <x:c r="C64" s="10" t="str">
        <x:f>IF('Red'!C29="","",'Red'!C29)</x:f>
      </x:c>
      <x:c r="D64" s="2" t="str">
        <x:f>IF('Red'!D29="","",'Red'!D29)</x:f>
        <x:v>Not opened</x:v>
      </x:c>
    </x:row>
    <x:row r="65" ht="24" customHeight="1">
      <x:c r="A65" s="2" t="str">
        <x:f>IF('Red'!A30="","",'Red'!A30)</x:f>
        <x:v>Red</x:v>
      </x:c>
      <x:c r="B65" s="2" t="str">
        <x:f>IF('Red'!B30="","",'Red'!B30)</x:f>
        <x:v>malden</x:v>
      </x:c>
      <x:c r="C65" s="10" t="str">
        <x:f>IF('Red'!C30="","",'Red'!C30)</x:f>
      </x:c>
      <x:c r="D65" s="2" t="str">
        <x:f>IF('Red'!D30="","",'Red'!D30)</x:f>
        <x:v>Not opened</x:v>
      </x:c>
    </x:row>
    <x:row r="66" ht="24" customHeight="1">
      <x:c r="A66" s="2" t="str">
        <x:f>IF('Red'!A31="","",'Red'!A31)</x:f>
        <x:v>Red</x:v>
      </x:c>
      <x:c r="B66" s="2" t="str">
        <x:f>IF('Red'!B31="","",'Red'!B31)</x:f>
        <x:v>medford</x:v>
      </x:c>
      <x:c r="C66" s="10" t="str">
        <x:f>IF('Red'!C31="","",'Red'!C31)</x:f>
      </x:c>
      <x:c r="D66" s="2" t="str">
        <x:f>IF('Red'!D31="","",'Red'!D31)</x:f>
        <x:v>Not opened</x:v>
      </x:c>
    </x:row>
    <x:row r="67" ht="24" customHeight="1">
      <x:c r="A67" s="2" t="str">
        <x:f>IF('Red'!A32="","",'Red'!A32)</x:f>
        <x:v>Red</x:v>
      </x:c>
      <x:c r="B67" s="2" t="str">
        <x:f>IF('Red'!B32="","",'Red'!B32)</x:f>
        <x:v>brookline</x:v>
      </x:c>
      <x:c r="C67" s="10" t="str">
        <x:f>IF('Red'!C32="","",'Red'!C32)</x:f>
      </x:c>
      <x:c r="D67" s="2" t="str">
        <x:f>IF('Red'!D32="","",'Red'!D32)</x:f>
        <x:v>Not opened</x:v>
      </x:c>
    </x:row>
    <x:row r="68" ht="24" customHeight="1">
      <x:c r="A68" s="2" t="str">
        <x:f>IF('Red'!A33="","",'Red'!A33)</x:f>
        <x:v>Red</x:v>
      </x:c>
      <x:c r="B68" s="2" t="str">
        <x:f>IF('Red'!B33="","",'Red'!B33)</x:f>
        <x:v>newton</x:v>
      </x:c>
      <x:c r="C68" s="10" t="str">
        <x:f>IF('Red'!C33="","",'Red'!C33)</x:f>
      </x:c>
      <x:c r="D68" s="2" t="str">
        <x:f>IF('Red'!D33="","",'Red'!D33)</x:f>
        <x:v>Not opened</x:v>
      </x:c>
    </x:row>
    <x:row r="69" ht="24" customHeight="1">
      <x:c r="A69" s="2" t="str">
        <x:f>IF('Red'!A34="","",'Red'!A34)</x:f>
        <x:v>Red</x:v>
      </x:c>
      <x:c r="B69" s="2" t="str">
        <x:f>IF('Red'!B34="","",'Red'!B34)</x:f>
        <x:v>quincy</x:v>
      </x:c>
      <x:c r="C69" s="10" t="str">
        <x:f>IF('Red'!C34="","",'Red'!C34)</x:f>
      </x:c>
      <x:c r="D69" s="2" t="str">
        <x:f>IF('Red'!D34="","",'Red'!D34)</x:f>
        <x:v>Not opened</x:v>
      </x:c>
    </x:row>
    <x:row r="70" ht="24" customHeight="1">
      <x:c r="A70" s="2" t="str">
        <x:f>IF('Red'!A35="","",'Red'!A35)</x:f>
        <x:v>Red</x:v>
      </x:c>
      <x:c r="B70" s="2" t="str">
        <x:f>IF('Red'!B35="","",'Red'!B35)</x:f>
        <x:v>braintree</x:v>
      </x:c>
      <x:c r="C70" s="10" t="str">
        <x:f>IF('Red'!C35="","",'Red'!C35)</x:f>
      </x:c>
      <x:c r="D70" s="2" t="str">
        <x:f>IF('Red'!D35="","",'Red'!D35)</x:f>
        <x:v>Not opened</x:v>
      </x:c>
    </x:row>
    <x:row r="71" ht="24" customHeight="1">
      <x:c r="A71" s="2" t="str">
        <x:f>IF('Red'!A36="","",'Red'!A36)</x:f>
        <x:v>Red</x:v>
      </x:c>
      <x:c r="B71" s="2" t="str">
        <x:f>IF('Red'!B36="","",'Red'!B36)</x:f>
        <x:v>winthrop</x:v>
      </x:c>
      <x:c r="C71" s="10" t="str">
        <x:f>IF('Red'!C36="","",'Red'!C36)</x:f>
      </x:c>
      <x:c r="D71" s="2" t="str">
        <x:f>IF('Red'!D36="","",'Red'!D36)</x:f>
        <x:v>Not opened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9.3799991607666" hidden="0" customWidth="1"/>
    <x:col min="2" max="2" width="92.5" hidden="0" customWidth="1"/>
  </x:cols>
  <x:sheetData>
    <x:row r="1" ht="24" customHeight="1">
      <x:c r="A1" s="2"/>
      <x:c r="B1" s="2"/>
    </x:row>
    <x:row r="2" ht="24" customHeight="1">
      <x:c r="A2" s="3" t="str">
        <x:v>SETUP / GOOGLE SHEETS</x:v>
      </x:c>
      <x:c r="B2" s="2"/>
    </x:row>
    <x:row r="3" ht="24" customHeight="1">
      <x:c r="A3" s="2"/>
      <x:c r="B3" s="2"/>
    </x:row>
    <x:row r="4" ht="24" customHeight="1">
      <x:c r="A4" s="2"/>
      <x:c r="B4" s="2"/>
    </x:row>
    <x:row r="5" ht="40" customHeight="1">
      <x:c r="A5" s="7" t="str">
        <x:v>Upload</x:v>
      </x:c>
      <x:c r="B5" s="14" t="str">
        <x:v>In Google Sheets, create a blank sheet, then File → Import → Upload this .xlsx. Choose Replace spreadsheet.</x:v>
      </x:c>
    </x:row>
    <x:row r="6" ht="40" customHeight="1">
      <x:c r="A6" s="7" t="str">
        <x:v>Players</x:v>
      </x:c>
      <x:c r="B6" s="14" t="str">
        <x:v>Share the sheet with friends as Editors. Public website readers do not need editing access.</x:v>
      </x:c>
    </x:row>
    <x:row r="7" ht="40" customHeight="1">
      <x:c r="A7" s="7" t="str">
        <x:v>Website data</x:v>
      </x:c>
      <x:c r="B7" s="14" t="str">
        <x:v>Publish only the Ownership and History tabs to the web, each as CSV.</x:v>
      </x:c>
    </x:row>
    <x:row r="8" ht="40" customHeight="1">
      <x:c r="A8" s="7" t="str">
        <x:v>Publish</x:v>
      </x:c>
      <x:c r="B8" s="14" t="str">
        <x:v>File → Share → Publish to web. Choose a tab and Comma-separated values (.csv). Repeat for History.</x:v>
      </x:c>
    </x:row>
    <x:row r="9" ht="40" customHeight="1">
      <x:c r="A9" s="7" t="str">
        <x:v>Connect</x:v>
      </x:c>
      <x:c r="B9" s="14" t="str">
        <x:v>Send the editable sheet link and the two published CSV links so we can connect the website.</x:v>
      </x:c>
    </x:row>
    <x:row r="10" ht="40" customHeight="1">
      <x:c r="A10" s="7" t="str">
        <x:v>Dropdowns</x:v>
      </x:c>
      <x:c r="B10" s="14" t="str">
        <x:v>Ownership: claimed_by and locked_by. Team tabs: status. Delete a team cell to clear it.</x:v>
      </x:c>
    </x:row>
    <x:row r="11" ht="40" customHeight="1">
      <x:c r="A11" s="7" t="str">
        <x:v>Import check</x:v>
      </x:c>
      <x:c r="B11" s="14" t="str">
        <x:v>After upload, check that dropdowns and formulas survived the Google Sheets conversion.</x:v>
      </x:c>
    </x:row>
    <x:row r="12" ht="40" customHeight="1">
      <x:c r="A12" s="7" t="str">
        <x:v>Ownership</x:v>
      </x:c>
      <x:c r="B12" s="14" t="str">
        <x:v>locked_by overrides claimed_by. Do not change a locked owner after the territory is secured.</x:v>
      </x:c>
    </x:row>
    <x:row r="13" ht="40" customHeight="1">
      <x:c r="A13" s="7" t="str">
        <x:v>Challenge order</x:v>
      </x:c>
      <x:c r="B13" s="14" t="str">
        <x:v>Use the next reveal number on your team tab. Keep the original number for all retries.</x:v>
      </x:c>
    </x:row>
    <x:row r="14" ht="40" customHeight="1">
      <x:c r="A14" s="7" t="str">
        <x:v>One active card</x:v>
      </x:c>
      <x:c r="B14" s="14" t="str">
        <x:v>Use Active for one challenge only. Finish it or mark Failed / Abandoned before the next reveal.</x:v>
      </x:c>
    </x:row>
    <x:row r="15" ht="40" customHeight="1">
      <x:c r="A15" s="7" t="str">
        <x:v>Retries</x:v>
      </x:c>
      <x:c r="B15" s="14" t="str">
        <x:v>A failed card may be retried only if the card permits it and no later card has been opened.</x:v>
      </x:c>
    </x:row>
    <x:row r="16" ht="40" customHeight="1">
      <x:c r="A16" s="7" t="str">
        <x:v>Warnings</x:v>
      </x:c>
      <x:c r="B16" s="14" t="str">
        <x:v>Warnings remind players; this honor-system template does not prevent every invalid edit.</x:v>
      </x:c>
    </x:row>
    <x:row r="17" ht="40" customHeight="1">
      <x:c r="A17" s="7" t="str">
        <x:v>Formula cells</x:v>
      </x:c>
      <x:c r="B17" s="14" t="str">
        <x:v>Green cells are calculated. Do not edit current_owner, state, entry_warning, retry_guidance, or History.</x:v>
      </x:c>
    </x:row>
    <x:row r="18" ht="40" customHeight="1">
      <x:c r="A18" s="7" t="str">
        <x:v>Sorting</x:v>
      </x:c>
      <x:c r="B18" s="14" t="str">
        <x:v>Keep History automatic. If sorting a team tab, sort the full A:G table, not a single column.</x:v>
      </x:c>
    </x:row>
    <x:row r="19" ht="40" customHeight="1">
      <x:c r="A19" s="7" t="str">
        <x:v>Team names</x:v>
      </x:c>
      <x:c r="B19" s="14" t="str">
        <x:v>Blue and Red match the initial site configuration. Ask before changing the team IDs.</x:v>
      </x:c>
    </x:row>
    <x:row r="20" ht="40" customHeight="1">
      <x:c r="A20" s="7" t="str">
        <x:v>Challenges</x:v>
      </x:c>
      <x:c r="B20" s="14" t="str">
        <x:v>Keep challenge text on the website, rather than in this public workbook.</x:v>
      </x:c>
    </x:row>
    <x:row r="21" ht="40" customHeight="1">
      <x:c r="A21" s="7" t="str">
        <x:v>Refresh</x:v>
      </x:c>
      <x:c r="B21" s="14" t="str">
        <x:v>Published Google feeds may cache edits. The website polls periodically, not instantly.</x:v>
      </x:c>
    </x:row>
    <x:row r="22" ht="40" customHeight="1">
      <x:c r="A22" s="7" t="str">
        <x:v>Game board</x:v>
      </x:c>
      <x:c r="B22" s="14" t="str">
        <x:v>35 areas: 23 Boston neighborhoods and 12 surrounding municipalities.</x:v>
      </x:c>
    </x:row>
    <x:row r="23" ht="40" customHeight="1">
      <x:c r="A23" s="7" t="str">
        <x:v>Source</x:v>
      </x:c>
      <x:c r="B23" s="14" t="str">
        <x:v>Territory names and game rules provided by Ansel in this chat. Boundaries remain draft.</x:v>
      </x:c>
    </x:row>
    <x:row r="24" ht="40" customHeight="1">
      <x:c r="A24" s="7" t="str">
        <x:v>Repository</x:v>
      </x:c>
      <x:c r="B24" s="14" t="str">
        <x:v>https://github.com/anselgl/jetlagboston</x:v>
      </x:c>
    </x:row>
    <x:row r="25" ht="24" customHeight="1">
      <x:c r="A25" s="2"/>
      <x:c r="B25" s="2"/>
    </x:row>
    <x:row r="26" ht="24" customHeight="1">
      <x:c r="A26" s="2"/>
      <x:c r="B26" s="2"/>
    </x:row>
    <x:row r="27" ht="24" customHeight="1">
      <x:c r="A27" s="2"/>
      <x:c r="B27" s="2"/>
    </x:row>
    <x:row r="28" ht="24" customHeight="1">
      <x:c r="A28" s="2"/>
      <x:c r="B28" s="2"/>
    </x:row>
    <x:row r="29" ht="24" customHeight="1">
      <x:c r="A29" s="2"/>
      <x:c r="B29" s="2"/>
    </x:row>
  </x:sheetData>
  <x:pageMargins left="0.7" right="0.7" top="0.75" bottom="0.75" header="0.3" footer="0.3"/>
</x:worksheet>
</file>