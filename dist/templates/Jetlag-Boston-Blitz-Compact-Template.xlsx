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ae13d53c6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overview" sheetId="1" r:id="R0d475af456144d91"/>
    <x:sheet xmlns:r="http://schemas.openxmlformats.org/officeDocument/2006/relationships" name="Ownership" sheetId="2" r:id="R198ecd33245d42c6"/>
    <x:sheet xmlns:r="http://schemas.openxmlformats.org/officeDocument/2006/relationships" name="Blue" sheetId="5" r:id="R85f5e7ea5ccf49e5"/>
    <x:sheet xmlns:r="http://schemas.openxmlformats.org/officeDocument/2006/relationships" name="Red" sheetId="6" r:id="R16f1b8e6872c44ec"/>
    <x:sheet xmlns:r="http://schemas.openxmlformats.org/officeDocument/2006/relationships" name="Yellow" sheetId="8" r:id="Rb92368976d1140eb"/>
    <x:sheet xmlns:r="http://schemas.openxmlformats.org/officeDocument/2006/relationships" name="Green" sheetId="7" r:id="Rda392ffdc5294a5e"/>
    <x:sheet xmlns:r="http://schemas.openxmlformats.org/officeDocument/2006/relationships" name="History" sheetId="9" r:id="Rf2c0fa0837494c2d"/>
    <x:sheet xmlns:r="http://schemas.openxmlformats.org/officeDocument/2006/relationships" name="Instructions" sheetId="10" r:id="R38ab1e8d2d25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1"/>
      <x:color rgb="FF142E2B"/>
      <x:name val="Arial"/>
    </x:font>
    <x:font>
      <x:b/>
      <x:sz val="16"/>
      <x:color rgb="FF142E2B"/>
      <x:name val="Arial"/>
    </x:font>
    <x:font>
      <x:b/>
      <x:sz val="11"/>
      <x:color rgb="FFFFFFFF"/>
      <x:name val="Arial"/>
    </x:font>
    <x:font>
      <x:b/>
      <x:sz val="11"/>
      <x:color rgb="FF142E2B"/>
      <x:name val="Arial"/>
    </x:font>
    <x:font>
      <x:sz val="11"/>
      <x:color rgb="FF2273E5"/>
      <x:name val="Arial"/>
    </x:font>
    <x:font>
      <x:sz val="11"/>
      <x:color rgb="FFEC4F39"/>
      <x:name val="Arial"/>
    </x:font>
    <x:font>
      <x:sz val="11"/>
      <x:color rgb="FF25835B"/>
      <x:name val="Arial"/>
    </x:font>
    <x:font>
      <x:sz val="11"/>
      <x:color rgb="FF8055C9"/>
      <x:name val="Arial"/>
    </x:font>
    <x:font>
      <x:sz val="11"/>
      <x:color rgb="FF152D2A"/>
      <x:name val="Arial"/>
    </x:font>
    <x:font>
      <x:b/>
      <x:sz val="16"/>
      <x:color rgb="FF152D2A"/>
      <x:name val="Arial"/>
    </x:font>
    <x:font>
      <x:b/>
      <x:sz val="11"/>
      <x:color rgb="FF152D2A"/>
      <x:name val="Arial"/>
    </x:font>
    <x:font>
      <x:sz val="11"/>
      <x:color rgb="FF9A76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42E2B"/>
      </x:patternFill>
    </x:fill>
    <x:fill>
      <x:patternFill patternType="solid">
        <x:fgColor rgb="FFE9EDDF"/>
      </x:patternFill>
    </x:fill>
    <x:fill>
      <x:patternFill patternType="solid">
        <x:fgColor rgb="FF152D2A"/>
      </x:patternFill>
    </x:fill>
    <x:fill>
      <x:patternFill patternType="solid">
        <x:fgColor rgb="FFFFF0B3"/>
      </x:patternFill>
    </x:fill>
    <x:fill>
      <x:patternFill patternType="solid">
        <x:fgColor rgb="FFE6EDE4"/>
      </x:patternFill>
    </x:fill>
  </x:fills>
  <x:borders count="4">
    <x:border>
      <x:left/>
      <x:right/>
      <x:top/>
      <x:bottom/>
      <x:diagonal/>
    </x:border>
    <x:border>
      <x:left style="thin">
        <x:color rgb="FF8B9B95"/>
      </x:left>
      <x:right/>
      <x:top style="thin">
        <x:color rgb="FF8B9B95"/>
      </x:top>
      <x:bottom style="thin">
        <x:color rgb="FF8B9B95"/>
      </x:bottom>
      <x:diagonal/>
    </x:border>
    <x:border>
      <x:left/>
      <x:right/>
      <x:top style="thin">
        <x:color rgb="FF8B9B95"/>
      </x:top>
      <x:bottom style="thin">
        <x:color rgb="FF8B9B95"/>
      </x:bottom>
      <x:diagonal/>
    </x:border>
    <x:border>
      <x:left/>
      <x:right style="thin">
        <x:color rgb="FF8B9B95"/>
      </x:right>
      <x:top style="thin">
        <x:color rgb="FF8B9B95"/>
      </x:top>
      <x:bottom style="thin">
        <x:color rgb="FF8B9B95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3" fillId="5" borderId="0" xfId="0" applyNumberFormat="1" applyFont="1" applyFill="1" applyBorder="1"/>
    <x:xf numFmtId="0" fontId="9" fillId="6" borderId="0" xfId="0" applyNumberFormat="1" applyFont="1" applyFill="1" applyBorder="1"/>
    <x:xf numFmtId="0" fontId="9" fillId="7" borderId="0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ont>
        <x:b/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  <x:color rgb="FF2273E5"/>
      </x:font>
      <x:fill>
        <x:patternFill>
          <x:bgColor rgb="FFE9EDDF"/>
        </x:patternFill>
      </x:fill>
    </x:dxf>
    <x:dxf>
      <x:font>
        <x:b/>
        <x:color rgb="FFEC4F39"/>
      </x:font>
      <x:fill>
        <x:patternFill>
          <x:bgColor rgb="FFE9EDDF"/>
        </x:patternFill>
      </x:fill>
    </x:dxf>
    <x:dxf>
      <x:font>
        <x:b/>
        <x:color rgb="FF25835B"/>
      </x:font>
      <x:fill>
        <x:patternFill>
          <x:bgColor rgb="FFE9EDDF"/>
        </x:patternFill>
      </x:fill>
    </x:dxf>
    <x:dxf>
      <x:font>
        <x:b/>
        <x:color rgb="FF8055C9"/>
      </x:font>
      <x:fill>
        <x:patternFill>
          <x:bgColor rgb="FFE9EDDF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</x:font>
      <x:fill>
        <x:patternFill>
          <x:bgColor rgb="FFF3CE3E"/>
        </x:patternFill>
      </x:fill>
    </x:dxf>
    <x:dxf>
      <x:fill>
        <x:patternFill>
          <x:bgColor rgb="FFFBE1DE"/>
        </x:patternFill>
      </x:fill>
    </x:dxf>
    <x:dxf>
      <x:fill>
        <x:patternFill>
          <x:bgColor rgb="FFD9EAD3"/>
        </x:patternFill>
      </x:fill>
    </x:dxf>
    <x:dxf>
      <x:font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</x:font>
      <x:fill>
        <x:patternFill>
          <x:bgColor rgb="FFF3CE3E"/>
        </x:patternFill>
      </x:fill>
    </x:dxf>
    <x:dxf>
      <x:fill>
        <x:patternFill>
          <x:bgColor rgb="FFFBE1DE"/>
        </x:patternFill>
      </x:fill>
    </x:dxf>
    <x:dxf>
      <x:fill>
        <x:patternFill>
          <x:bgColor rgb="FFD9EAD3"/>
        </x:patternFill>
      </x:fill>
    </x:dxf>
    <x:dxf>
      <x:font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</x:font>
      <x:fill>
        <x:patternFill>
          <x:bgColor rgb="FFF3CE3E"/>
        </x:patternFill>
      </x:fill>
    </x:dxf>
    <x:dxf>
      <x:fill>
        <x:patternFill>
          <x:bgColor rgb="FFFBE1DE"/>
        </x:patternFill>
      </x:fill>
    </x:dxf>
    <x:dxf>
      <x:fill>
        <x:patternFill>
          <x:bgColor rgb="FFD9EAD3"/>
        </x:patternFill>
      </x:fill>
    </x:dxf>
    <x:dxf>
      <x:font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  <x:dxf>
      <x:font>
        <x:b/>
      </x:font>
      <x:fill>
        <x:patternFill>
          <x:bgColor rgb="FFF3CE3E"/>
        </x:patternFill>
      </x:fill>
    </x:dxf>
    <x:dxf>
      <x:fill>
        <x:patternFill>
          <x:bgColor rgb="FFFBE1DE"/>
        </x:patternFill>
      </x:fill>
    </x:dxf>
    <x:dxf>
      <x:fill>
        <x:patternFill>
          <x:bgColor rgb="FFD9EAD3"/>
        </x:patternFill>
      </x:fill>
    </x:dxf>
    <x:dxf>
      <x:font>
        <x:color rgb="FF982B22"/>
      </x:font>
      <x:fill>
        <x:patternFill>
          <x:bgColor rgb="FFFBE1DE"/>
        </x:patternFill>
      </x:fill>
    </x:dxf>
    <x:dxf>
      <x:font>
        <x:b/>
        <x:color rgb="FF982B22"/>
      </x:font>
      <x:fill>
        <x:patternFill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0e544086d45de" /><Relationship Type="http://schemas.openxmlformats.org/officeDocument/2006/relationships/theme" Target="/xl/theme/theme1.xml" Id="R4e03a72d78bf4709" /><Relationship Type="http://schemas.openxmlformats.org/officeDocument/2006/relationships/sharedStrings" Target="/xl/sharedStrings.xml" Id="R66e25d0fd46544a8" /><Relationship Type="http://schemas.openxmlformats.org/officeDocument/2006/relationships/worksheet" Target="/xl/worksheets/sheet1.xml" Id="R0d475af456144d91" /><Relationship Type="http://schemas.openxmlformats.org/officeDocument/2006/relationships/worksheet" Target="/xl/worksheets/sheet2.xml" Id="R198ecd33245d42c6" /><Relationship Type="http://schemas.openxmlformats.org/officeDocument/2006/relationships/worksheet" Target="/xl/worksheets/sheet3.xml" Id="R85f5e7ea5ccf49e5" /><Relationship Type="http://schemas.openxmlformats.org/officeDocument/2006/relationships/worksheet" Target="/xl/worksheets/sheet4.xml" Id="R16f1b8e6872c44ec" /><Relationship Type="http://schemas.openxmlformats.org/officeDocument/2006/relationships/worksheet" Target="/xl/worksheets/sheet5.xml" Id="Rda392ffdc5294a5e" /><Relationship Type="http://schemas.openxmlformats.org/officeDocument/2006/relationships/worksheet" Target="/xl/worksheets/sheet6.xml" Id="Rb92368976d1140eb" /><Relationship Type="http://schemas.openxmlformats.org/officeDocument/2006/relationships/worksheet" Target="/xl/worksheets/sheet7.xml" Id="Rf2c0fa0837494c2d" /><Relationship Type="http://schemas.openxmlformats.org/officeDocument/2006/relationships/worksheet" Target="/xl/worksheets/sheet8.xml" Id="R38ab1e8d2d25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E2B"/>
  </x:sheetPr>
  <x:sheetViews>
    <x:sheetView showGridLines="0" workbookViewId="0"/>
  </x:sheetViews>
  <x:sheetFormatPr defaultRowHeight="15"/>
  <x:cols>
    <x:col min="1" max="1" width="28.1299991607666" hidden="0" customWidth="1"/>
    <x:col min="2" max="2" width="20" hidden="0" customWidth="1"/>
    <x:col min="3" max="3" width="11.880000114440918" hidden="0" customWidth="1"/>
    <x:col min="4" max="4" width="15.630000114440918" hidden="0" customWidth="1"/>
    <x:col min="5" max="5" width="19.3799991607666" hidden="0" customWidth="1"/>
    <x:col min="6" max="6" width="43.130001068115234" hidden="0" customWidth="1"/>
  </x:cols>
  <x:sheetData>
    <x:row r="1" ht="24" customHeight="1">
      <x:c r="A1" s="8"/>
      <x:c r="B1" s="8"/>
      <x:c r="C1" s="8"/>
      <x:c r="D1" s="8"/>
      <x:c r="E1" s="8"/>
      <x:c r="F1" s="8"/>
      <x:c r="G1" s="8"/>
    </x:row>
    <x:row r="2" ht="24" customHeight="1">
      <x:c r="A2" s="9" t="str">
        <x:v>JETLAG: BOSTON BLITZ / GAME RECORD</x:v>
      </x:c>
      <x:c r="B2" s="8"/>
      <x:c r="C2" s="8"/>
      <x:c r="D2" s="8"/>
      <x:c r="E2" s="8"/>
      <x:c r="F2" s="8"/>
      <x:c r="G2" s="8"/>
    </x:row>
    <x:row r="3" ht="24" customHeight="1">
      <x:c r="A3" s="8" t="str">
        <x:v>Edit yellow cells. Choose the team count and colors on Instructions before starting.</x:v>
      </x:c>
      <x:c r="B3" s="8"/>
      <x:c r="C3" s="8"/>
      <x:c r="D3" s="8"/>
      <x:c r="E3" s="8"/>
      <x:c r="F3" s="8"/>
      <x:c r="G3" s="8"/>
    </x:row>
    <x:row r="4" ht="24" customHeight="1">
      <x:c r="A4" s="8"/>
      <x:c r="B4" s="8"/>
      <x:c r="C4" s="8"/>
      <x:c r="D4" s="8"/>
      <x:c r="E4" s="8"/>
      <x:c r="F4" s="8"/>
      <x:c r="G4" s="8"/>
    </x:row>
    <x:row r="5" ht="30" customHeight="1">
      <x:c r="A5" s="12" t="str">
        <x:v>Team</x:v>
      </x:c>
      <x:c r="B5" s="12" t="str">
        <x:v>Claimed / unlocked</x:v>
      </x:c>
      <x:c r="C5" s="12" t="str">
        <x:v>Locked</x:v>
      </x:c>
      <x:c r="D5" s="12" t="str">
        <x:v>Total territories</x:v>
      </x:c>
      <x:c r="E5" s="12" t="str">
        <x:v>Active challenges</x:v>
      </x:c>
      <x:c r="F5" s="12" t="str">
        <x:v>Challenge status</x:v>
      </x:c>
      <x:c r="G5" s="8"/>
    </x:row>
    <x:row r="6" ht="24" customHeight="1">
      <x:c r="A6" s="33" t="str">
        <x:f>IF(Instructions!$C$38="Yes",Instructions!$A$38,"")</x:f>
        <x:v>Blue</x:v>
      </x:c>
      <x:c r="B6" s="34" t="n">
        <x:f>IF(A6="","",COUNTIFS(Ownership!$B$2:$B$38,Instructions!$E$38,Ownership!$E$2:$E$38,"Claimed"))</x:f>
        <x:v>1</x:v>
      </x:c>
      <x:c r="C6" s="34" t="n">
        <x:f>IF(A6="","",COUNTIFS(Ownership!$C$2:$C$38,Instructions!$E$38))</x:f>
        <x:v>1</x:v>
      </x:c>
      <x:c r="D6" s="34" t="n">
        <x:f>IF(A6="","",SUM(B6:C6))</x:f>
        <x:v>2</x:v>
      </x:c>
      <x:c r="E6" s="34" t="n">
        <x:f>IF(A6="","",COUNTIFS('Blue'!$B$2:$B$38,"Active"))</x:f>
        <x:v>0</x:v>
      </x:c>
      <x:c r="F6" s="35" t="str">
        <x:f>IF(A6="","Inactive team",IF(E6&gt;1,"WARNING: multiple active challenges",IF(COUNTIFS('Blue'!$D$2:$D$38,"?*")&gt;0,"Fix team-tab entries",IF(E6=1,"One challenge active","No active challenge"))))</x:f>
        <x:v>No active challenge</x:v>
      </x:c>
      <x:c r="G6" s="8"/>
    </x:row>
    <x:row r="7" ht="24" customHeight="1">
      <x:c r="A7" s="36" t="str">
        <x:f>IF(Instructions!$C$39="Yes",Instructions!$A$39,"")</x:f>
        <x:v>Red</x:v>
      </x:c>
      <x:c r="B7" s="34" t="n">
        <x:f>IF(A7="","",COUNTIFS(Ownership!$B$2:$B$38,Instructions!$E$39,Ownership!$E$2:$E$38,"Claimed"))</x:f>
        <x:v>1</x:v>
      </x:c>
      <x:c r="C7" s="34" t="n">
        <x:f>IF(A7="","",COUNTIFS(Ownership!$C$2:$C$38,Instructions!$E$39))</x:f>
        <x:v>2</x:v>
      </x:c>
      <x:c r="D7" s="34" t="n">
        <x:f>IF(A7="","",SUM(B7:C7))</x:f>
        <x:v>3</x:v>
      </x:c>
      <x:c r="E7" s="34" t="n">
        <x:f>IF(A7="","",COUNTIFS('Red'!$B$2:$B$38,"Active"))</x:f>
        <x:v>0</x:v>
      </x:c>
      <x:c r="F7" s="35" t="str">
        <x:f>IF(A7="","Inactive team",IF(E7&gt;1,"WARNING: multiple active challenges",IF(COUNTIFS('Red'!$D$2:$D$38,"?*")&gt;0,"Fix team-tab entries",IF(E7=1,"One challenge active","No active challenge"))))</x:f>
        <x:v>No active challenge</x:v>
      </x:c>
      <x:c r="G7" s="8"/>
    </x:row>
    <x:row r="8" ht="24" customHeight="1">
      <x:c r="A8" s="40" t="str">
        <x:f>IF(Instructions!$C$40="Yes",Instructions!$A$40,"")</x:f>
        <x:v>Yellow</x:v>
      </x:c>
      <x:c r="B8" s="34" t="n">
        <x:f>IF(A8="","",COUNTIFS(Ownership!$B$2:$B$38,Instructions!$E$40,Ownership!$E$2:$E$38,"Claimed"))</x:f>
        <x:v>1</x:v>
      </x:c>
      <x:c r="C8" s="34" t="n">
        <x:f>IF(A8="","",COUNTIFS(Ownership!$C$2:$C$38,Instructions!$E$40))</x:f>
        <x:v>2</x:v>
      </x:c>
      <x:c r="D8" s="34" t="n">
        <x:f>IF(A8="","",SUM(B8:C8))</x:f>
        <x:v>3</x:v>
      </x:c>
      <x:c r="E8" s="34" t="n">
        <x:f>IF(A8="","",COUNTIFS('Yellow'!$B$2:$B$38,"Active"))</x:f>
        <x:v>0</x:v>
      </x:c>
      <x:c r="F8" s="35" t="str">
        <x:f>IF(A8="","Inactive team",IF(E8&gt;1,"WARNING: multiple active challenges",IF(COUNTIFS('Yellow'!$D$2:$D$38,"?*")&gt;0,"Fix team-tab entries",IF(E8=1,"One challenge active","No active challenge"))))</x:f>
        <x:v>No active challenge</x:v>
      </x:c>
      <x:c r="G8" s="8"/>
    </x:row>
    <x:row r="9" ht="24" customHeight="1">
      <x:c r="A9" s="37" t="str">
        <x:f>IF(Instructions!$C$41="Yes",Instructions!$A$41,"")</x:f>
        <x:v>Green</x:v>
      </x:c>
      <x:c r="B9" s="34" t="n">
        <x:f>IF(A9="","",COUNTIFS(Ownership!$B$2:$B$38,Instructions!$E$41,Ownership!$E$2:$E$38,"Claimed"))</x:f>
        <x:v>1</x:v>
      </x:c>
      <x:c r="C9" s="34" t="n">
        <x:f>IF(A9="","",COUNTIFS(Ownership!$C$2:$C$38,Instructions!$E$41))</x:f>
        <x:v>1</x:v>
      </x:c>
      <x:c r="D9" s="34" t="n">
        <x:f>IF(A9="","",SUM(B9:C9))</x:f>
        <x:v>2</x:v>
      </x:c>
      <x:c r="E9" s="34" t="n">
        <x:f>IF(A9="","",COUNTIFS('Green'!$B$2:$B$38,"Active"))</x:f>
        <x:v>0</x:v>
      </x:c>
      <x:c r="F9" s="35" t="str">
        <x:f>IF(A9="","Inactive team",IF(E9&gt;1,"WARNING: multiple active challenges",IF(COUNTIFS('Green'!$D$2:$D$38,"?*")&gt;0,"Fix team-tab entries",IF(E9=1,"One challenge active","No active challenge"))))</x:f>
        <x:v>No active challenge</x:v>
      </x:c>
      <x:c r="G9" s="8"/>
    </x:row>
    <x:row r="10" ht="24" customHeight="1">
      <x:c r="A10" s="8"/>
      <x:c r="B10" s="18"/>
      <x:c r="C10" s="18"/>
      <x:c r="D10" s="18"/>
      <x:c r="E10" s="18"/>
      <x:c r="F10" s="8"/>
      <x:c r="G10" s="8"/>
    </x:row>
    <x:row r="11" ht="24" customHeight="1">
      <x:c r="A11" s="39" t="str">
        <x:v>Unclaimed territories</x:v>
      </x:c>
      <x:c r="B11" s="34"/>
      <x:c r="C11" s="34"/>
      <x:c r="D11" s="34" t="n">
        <x:f>COUNTIFS(Ownership!$E$2:$E$38,"Unclaimed")</x:f>
        <x:v>27</x:v>
      </x:c>
      <x:c r="E11" s="34"/>
      <x:c r="F11" s="35"/>
      <x:c r="G11" s="8"/>
    </x:row>
    <x:row r="12" ht="24" customHeight="1">
      <x:c r="A12" s="8"/>
      <x:c r="B12" s="8"/>
      <x:c r="C12" s="8"/>
      <x:c r="D12" s="8"/>
      <x:c r="E12" s="8"/>
      <x:c r="F12" s="8"/>
      <x:c r="G12" s="8"/>
    </x:row>
    <x:row r="13" ht="24" customHeight="1">
      <x:c r="A13" s="13" t="str">
        <x:v>How to record a capture</x:v>
      </x:c>
      <x:c r="B13" s="8"/>
      <x:c r="C13" s="8"/>
      <x:c r="D13" s="8"/>
      <x:c r="E13" s="8"/>
      <x:c r="F13" s="8"/>
      <x:c r="G13" s="8"/>
    </x:row>
    <x:row r="14" ht="24" customHeight="1">
      <x:c r="A14" s="8" t="str">
        <x:v>1. Reach a public outdoor location inside the territory, after leaving transit.</x:v>
      </x:c>
      <x:c r="B14" s="8"/>
      <x:c r="C14" s="8"/>
      <x:c r="D14" s="8"/>
      <x:c r="E14" s="8"/>
      <x:c r="F14" s="8"/>
      <x:c r="G14" s="8"/>
    </x:row>
    <x:row r="15" ht="24" customHeight="1">
      <x:c r="A15" s="8" t="str">
        <x:v>2. Enter the first team in Ownership → Claimed By.</x:v>
      </x:c>
      <x:c r="B15" s="8"/>
      <x:c r="C15" s="8"/>
      <x:c r="D15" s="8"/>
      <x:c r="E15" s="8"/>
      <x:c r="F15" s="8"/>
      <x:c r="G15" s="8"/>
    </x:row>
    <x:row r="16" ht="24" customHeight="1">
      <x:c r="A16" s="8" t="str">
        <x:v>3. Record a new reveal number and Active status in your team tab when opening a card.</x:v>
      </x:c>
      <x:c r="B16" s="8"/>
      <x:c r="C16" s="8"/>
      <x:c r="D16" s="8"/>
      <x:c r="E16" s="8"/>
      <x:c r="F16" s="8"/>
      <x:c r="G16" s="8"/>
    </x:row>
    <x:row r="17" ht="24" customHeight="1">
      <x:c r="A17" s="8" t="str">
        <x:v>4. Finish or abandon your active card before opening another. Keep old reveal numbers.</x:v>
      </x:c>
      <x:c r="B17" s="8"/>
      <x:c r="C17" s="8"/>
      <x:c r="D17" s="8"/>
      <x:c r="E17" s="8"/>
      <x:c r="F17" s="8"/>
      <x:c r="G17" s="8"/>
    </x:row>
    <x:row r="18" ht="24" customHeight="1">
      <x:c r="A18" s="8" t="str">
        <x:v>5. Complete a challenge to lock or steal: enter the completing team in Locked By.</x:v>
      </x:c>
      <x:c r="B18" s="8"/>
      <x:c r="C18" s="8"/>
      <x:c r="D18" s="8"/>
      <x:c r="E18" s="8"/>
      <x:c r="F18" s="8"/>
      <x:c r="G18" s="8"/>
    </x:row>
    <x:row r="19" ht="24" customHeight="1">
      <x:c r="A19" s="8"/>
      <x:c r="B19" s="8"/>
      <x:c r="C19" s="8"/>
      <x:c r="D19" s="8"/>
      <x:c r="E19" s="8"/>
      <x:c r="F19" s="8"/>
      <x:c r="G19" s="8"/>
    </x:row>
    <x:row r="20" ht="24" customHeight="1">
      <x:c r="A20" s="8" t="str">
        <x:v>DEMO: sample claims and locks are included. Clear Ownership B2:C38 before playing.</x:v>
      </x:c>
      <x:c r="B20" s="8"/>
      <x:c r="C20" s="8"/>
      <x:c r="D20" s="8"/>
      <x:c r="E20" s="8"/>
      <x:c r="F20" s="8"/>
      <x:c r="G20" s="8"/>
    </x:row>
    <x:row r="21" ht="24" customHeight="1">
      <x:c r="A21" s="8" t="str">
        <x:v>Territory counts are shown; final scoring is not yet defined.</x:v>
      </x:c>
      <x:c r="B21" s="8"/>
      <x:c r="C21" s="8"/>
      <x:c r="D21" s="8"/>
      <x:c r="E21" s="8"/>
      <x:c r="F21" s="8"/>
      <x:c r="G21" s="8"/>
    </x:row>
    <x:row r="22" ht="24" customHeight="1">
      <x:c r="A22" s="8" t="str">
        <x:v>Select the number of teams on Instructions B33 before starting.</x:v>
      </x:c>
      <x:c r="B22" s="8"/>
      <x:c r="C22" s="8"/>
      <x:c r="D22" s="8"/>
      <x:c r="E22" s="8"/>
      <x:c r="F22" s="8"/>
      <x:c r="G22" s="8"/>
    </x:row>
    <x:row r="23" ht="24" customHeight="1">
      <x:c r="A23" s="8"/>
      <x:c r="B23" s="8"/>
      <x:c r="C23" s="8"/>
      <x:c r="D23" s="8"/>
      <x:c r="E23" s="8"/>
      <x:c r="F23" s="8"/>
      <x:c r="G23" s="8"/>
    </x:row>
    <x:row r="24" ht="24" customHeight="1">
      <x:c r="A24" s="8"/>
      <x:c r="B24" s="8"/>
      <x:c r="C24" s="8"/>
      <x:c r="D24" s="8"/>
      <x:c r="E24" s="8"/>
      <x:c r="F24" s="8"/>
      <x:c r="G24" s="8"/>
    </x:row>
    <x:row r="25" ht="24" customHeight="1">
      <x:c r="A25" s="8"/>
      <x:c r="B25" s="8"/>
      <x:c r="C25" s="8"/>
      <x:c r="D25" s="8"/>
      <x:c r="E25" s="8"/>
      <x:c r="F25" s="8"/>
      <x:c r="G25" s="8"/>
    </x:row>
    <x:row r="26" ht="24" customHeight="1">
      <x:c r="A26" s="8"/>
      <x:c r="B26" s="8"/>
      <x:c r="C26" s="8"/>
      <x:c r="D26" s="8"/>
      <x:c r="E26" s="8"/>
      <x:c r="F26" s="8"/>
      <x:c r="G26" s="8"/>
    </x:row>
    <x:row r="27" ht="24" customHeight="1">
      <x:c r="A27"/>
      <x:c r="B27"/>
      <x:c r="C27"/>
      <x:c r="D27"/>
      <x:c r="E27"/>
      <x:c r="F27"/>
      <x:c r="G27" s="8"/>
    </x:row>
    <x:row r="28" ht="24" customHeight="1">
      <x:c r="A28"/>
      <x:c r="B28"/>
      <x:c r="C28"/>
      <x:c r="D28"/>
      <x:c r="E28"/>
      <x:c r="F28"/>
      <x:c r="G28" s="8"/>
    </x:row>
    <x:row r="29" ht="24" customHeight="1">
      <x:c r="A29"/>
      <x:c r="B29"/>
      <x:c r="C29"/>
      <x:c r="D29"/>
      <x:c r="E29"/>
      <x:c r="F29"/>
      <x:c r="G29" s="8"/>
    </x:row>
    <x:row r="30" ht="24" customHeight="1">
      <x:c r="A30"/>
      <x:c r="B30"/>
      <x:c r="C30"/>
      <x:c r="D30"/>
      <x:c r="E30"/>
      <x:c r="F30"/>
      <x:c r="G30" s="8"/>
    </x:row>
  </x:sheetData>
  <x:conditionalFormatting sqref="F6:F9">
    <x:cfRule type="containsText" dxfId="0" priority="1" operator="containsText" text="WARNING"/>
    <x:cfRule type="containsText" dxfId="1" priority="2" operator="containsText" text="Fix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67C6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6.25" hidden="0" customWidth="1"/>
    <x:col min="3" max="3" width="16.25" hidden="0" customWidth="1"/>
    <x:col min="4" max="4" width="17.5" hidden="0" customWidth="1"/>
    <x:col min="5" max="5" width="16.25" hidden="0" customWidth="1"/>
    <x:col min="6" max="6" width="26.8799991607666" hidden="1" customWidth="1"/>
  </x:cols>
  <x:sheetData>
    <x:row r="1" ht="30" customHeight="1">
      <x:c r="A1" s="12" t="str">
        <x:v>Territory</x:v>
      </x:c>
      <x:c r="B1" s="12" t="str">
        <x:v>Claimed By</x:v>
      </x:c>
      <x:c r="C1" s="12" t="str">
        <x:v>Locked By</x:v>
      </x:c>
      <x:c r="D1" s="12" t="str">
        <x:v>Current Owner</x:v>
      </x:c>
      <x:c r="E1" s="12" t="str">
        <x:v>State</x:v>
      </x:c>
      <x:c r="F1" s="19" t="str">
        <x:v>Territory ID</x:v>
      </x:c>
    </x:row>
    <x:row r="2" ht="24" customHeight="1">
      <x:c r="A2" s="8" t="str">
        <x:v>Allston</x:v>
      </x:c>
      <x:c r="B2" s="21" t="str">
        <x:v>Team 1</x:v>
      </x:c>
      <x:c r="C2" s="21"/>
      <x:c r="D2" s="22" t="str">
        <x:f>IF(C2&lt;&gt;"",INDEX(Instructions!$A$38:$A$41,MATCH(C2,Instructions!$E$38:$E$41,0)),IF(B2&lt;&gt;"",INDEX(Instructions!$A$38:$A$41,MATCH(B2,Instructions!$E$38:$E$41,0)),""))</x:f>
        <x:v>Blue</x:v>
      </x:c>
      <x:c r="E2" s="22" t="str">
        <x:f>IF(C2&lt;&gt;"","Locked",IF(B2&lt;&gt;"","Claimed","Unclaimed"))</x:f>
        <x:v>Claimed</x:v>
      </x:c>
      <x:c r="F2" s="20" t="str">
        <x:v>allston</x:v>
      </x:c>
    </x:row>
    <x:row r="3" ht="24" customHeight="1">
      <x:c r="A3" s="8" t="str">
        <x:v>Back Bay</x:v>
      </x:c>
      <x:c r="B3" s="21" t="str">
        <x:v>Team 2</x:v>
      </x:c>
      <x:c r="C3" s="21" t="str">
        <x:v>Team 2</x:v>
      </x:c>
      <x:c r="D3" s="22" t="str">
        <x:f>IF(C3&lt;&gt;"",INDEX(Instructions!$A$38:$A$41,MATCH(C3,Instructions!$E$38:$E$41,0)),IF(B3&lt;&gt;"",INDEX(Instructions!$A$38:$A$41,MATCH(B3,Instructions!$E$38:$E$41,0)),""))</x:f>
        <x:v>Red</x:v>
      </x:c>
      <x:c r="E3" s="22" t="str">
        <x:f>IF(C3&lt;&gt;"","Locked",IF(B3&lt;&gt;"","Claimed","Unclaimed"))</x:f>
        <x:v>Locked</x:v>
      </x:c>
      <x:c r="F3" s="20" t="str">
        <x:v>back-bay</x:v>
      </x:c>
    </x:row>
    <x:row r="4" ht="24" customHeight="1">
      <x:c r="A4" s="8" t="str">
        <x:v>Bay Village</x:v>
      </x:c>
      <x:c r="B4" s="21"/>
      <x:c r="C4" s="21"/>
      <x:c r="D4" s="22" t="str">
        <x:f>IF(C4&lt;&gt;"",INDEX(Instructions!$A$38:$A$41,MATCH(C4,Instructions!$E$38:$E$41,0)),IF(B4&lt;&gt;"",INDEX(Instructions!$A$38:$A$41,MATCH(B4,Instructions!$E$38:$E$41,0)),""))</x:f>
      </x:c>
      <x:c r="E4" s="22" t="str">
        <x:f>IF(C4&lt;&gt;"","Locked",IF(B4&lt;&gt;"","Claimed","Unclaimed"))</x:f>
        <x:v>Unclaimed</x:v>
      </x:c>
      <x:c r="F4" s="20" t="str">
        <x:v>bay-village</x:v>
      </x:c>
    </x:row>
    <x:row r="5" ht="24" customHeight="1">
      <x:c r="A5" s="8" t="str">
        <x:v>Beacon Hill</x:v>
      </x:c>
      <x:c r="B5" s="21" t="str">
        <x:v>Team 1</x:v>
      </x:c>
      <x:c r="C5" s="21" t="str">
        <x:v>Team 2</x:v>
      </x:c>
      <x:c r="D5" s="22" t="str">
        <x:f>IF(C5&lt;&gt;"",INDEX(Instructions!$A$38:$A$41,MATCH(C5,Instructions!$E$38:$E$41,0)),IF(B5&lt;&gt;"",INDEX(Instructions!$A$38:$A$41,MATCH(B5,Instructions!$E$38:$E$41,0)),""))</x:f>
        <x:v>Red</x:v>
      </x:c>
      <x:c r="E5" s="22" t="str">
        <x:f>IF(C5&lt;&gt;"","Locked",IF(B5&lt;&gt;"","Claimed","Unclaimed"))</x:f>
        <x:v>Locked</x:v>
      </x:c>
      <x:c r="F5" s="20" t="str">
        <x:v>beacon-hill</x:v>
      </x:c>
    </x:row>
    <x:row r="6" ht="24" customHeight="1">
      <x:c r="A6" s="8" t="str">
        <x:v>Brighton</x:v>
      </x:c>
      <x:c r="B6" s="21"/>
      <x:c r="C6" s="21"/>
      <x:c r="D6" s="22" t="str">
        <x:f>IF(C6&lt;&gt;"",INDEX(Instructions!$A$38:$A$41,MATCH(C6,Instructions!$E$38:$E$41,0)),IF(B6&lt;&gt;"",INDEX(Instructions!$A$38:$A$41,MATCH(B6,Instructions!$E$38:$E$41,0)),""))</x:f>
      </x:c>
      <x:c r="E6" s="22" t="str">
        <x:f>IF(C6&lt;&gt;"","Locked",IF(B6&lt;&gt;"","Claimed","Unclaimed"))</x:f>
        <x:v>Unclaimed</x:v>
      </x:c>
      <x:c r="F6" s="20" t="str">
        <x:v>brighton</x:v>
      </x:c>
    </x:row>
    <x:row r="7" ht="24" customHeight="1">
      <x:c r="A7" s="8" t="str">
        <x:v>Charlestown</x:v>
      </x:c>
      <x:c r="B7" s="21"/>
      <x:c r="C7" s="21"/>
      <x:c r="D7" s="22" t="str">
        <x:f>IF(C7&lt;&gt;"",INDEX(Instructions!$A$38:$A$41,MATCH(C7,Instructions!$E$38:$E$41,0)),IF(B7&lt;&gt;"",INDEX(Instructions!$A$38:$A$41,MATCH(B7,Instructions!$E$38:$E$41,0)),""))</x:f>
      </x:c>
      <x:c r="E7" s="22" t="str">
        <x:f>IF(C7&lt;&gt;"","Locked",IF(B7&lt;&gt;"","Claimed","Unclaimed"))</x:f>
        <x:v>Unclaimed</x:v>
      </x:c>
      <x:c r="F7" s="20" t="str">
        <x:v>charlestown</x:v>
      </x:c>
    </x:row>
    <x:row r="8" ht="24" customHeight="1">
      <x:c r="A8" s="8" t="str">
        <x:v>Chinatown</x:v>
      </x:c>
      <x:c r="B8" s="21"/>
      <x:c r="C8" s="21"/>
      <x:c r="D8" s="22" t="str">
        <x:f>IF(C8&lt;&gt;"",INDEX(Instructions!$A$38:$A$41,MATCH(C8,Instructions!$E$38:$E$41,0)),IF(B8&lt;&gt;"",INDEX(Instructions!$A$38:$A$41,MATCH(B8,Instructions!$E$38:$E$41,0)),""))</x:f>
      </x:c>
      <x:c r="E8" s="22" t="str">
        <x:f>IF(C8&lt;&gt;"","Locked",IF(B8&lt;&gt;"","Claimed","Unclaimed"))</x:f>
        <x:v>Unclaimed</x:v>
      </x:c>
      <x:c r="F8" s="20" t="str">
        <x:v>chinatown-leather-district</x:v>
      </x:c>
    </x:row>
    <x:row r="9" ht="24" customHeight="1">
      <x:c r="A9" s="8" t="str">
        <x:v>Dorchester</x:v>
      </x:c>
      <x:c r="B9" s="21" t="str">
        <x:v>Team 4</x:v>
      </x:c>
      <x:c r="C9" s="21" t="str">
        <x:v>Team 4</x:v>
      </x:c>
      <x:c r="D9" s="22" t="str">
        <x:f>IF(C9&lt;&gt;"",INDEX(Instructions!$A$38:$A$41,MATCH(C9,Instructions!$E$38:$E$41,0)),IF(B9&lt;&gt;"",INDEX(Instructions!$A$38:$A$41,MATCH(B9,Instructions!$E$38:$E$41,0)),""))</x:f>
        <x:v>Green</x:v>
      </x:c>
      <x:c r="E9" s="22" t="str">
        <x:f>IF(C9&lt;&gt;"","Locked",IF(B9&lt;&gt;"","Claimed","Unclaimed"))</x:f>
        <x:v>Locked</x:v>
      </x:c>
      <x:c r="F9" s="20" t="str">
        <x:v>dorchester</x:v>
      </x:c>
    </x:row>
    <x:row r="10" ht="24" customHeight="1">
      <x:c r="A10" s="8" t="str">
        <x:v>Downtown</x:v>
      </x:c>
      <x:c r="B10" s="21"/>
      <x:c r="C10" s="21"/>
      <x:c r="D10" s="22" t="str">
        <x:f>IF(C10&lt;&gt;"",INDEX(Instructions!$A$38:$A$41,MATCH(C10,Instructions!$E$38:$E$41,0)),IF(B10&lt;&gt;"",INDEX(Instructions!$A$38:$A$41,MATCH(B10,Instructions!$E$38:$E$41,0)),""))</x:f>
      </x:c>
      <x:c r="E10" s="22" t="str">
        <x:f>IF(C10&lt;&gt;"","Locked",IF(B10&lt;&gt;"","Claimed","Unclaimed"))</x:f>
        <x:v>Unclaimed</x:v>
      </x:c>
      <x:c r="F10" s="20" t="str">
        <x:v>downtown</x:v>
      </x:c>
    </x:row>
    <x:row r="11" ht="24" customHeight="1">
      <x:c r="A11" s="8" t="str">
        <x:v>East Boston</x:v>
      </x:c>
      <x:c r="B11" s="21"/>
      <x:c r="C11" s="21"/>
      <x:c r="D11" s="22" t="str">
        <x:f>IF(C11&lt;&gt;"",INDEX(Instructions!$A$38:$A$41,MATCH(C11,Instructions!$E$38:$E$41,0)),IF(B11&lt;&gt;"",INDEX(Instructions!$A$38:$A$41,MATCH(B11,Instructions!$E$38:$E$41,0)),""))</x:f>
      </x:c>
      <x:c r="E11" s="22" t="str">
        <x:f>IF(C11&lt;&gt;"","Locked",IF(B11&lt;&gt;"","Claimed","Unclaimed"))</x:f>
        <x:v>Unclaimed</x:v>
      </x:c>
      <x:c r="F11" s="20" t="str">
        <x:v>east-boston</x:v>
      </x:c>
    </x:row>
    <x:row r="12" ht="24" customHeight="1">
      <x:c r="A12" s="8" t="str">
        <x:v>Fenway–Kenmore</x:v>
      </x:c>
      <x:c r="B12" s="21"/>
      <x:c r="C12" s="21"/>
      <x:c r="D12" s="22" t="str">
        <x:f>IF(C12&lt;&gt;"",INDEX(Instructions!$A$38:$A$41,MATCH(C12,Instructions!$E$38:$E$41,0)),IF(B12&lt;&gt;"",INDEX(Instructions!$A$38:$A$41,MATCH(B12,Instructions!$E$38:$E$41,0)),""))</x:f>
      </x:c>
      <x:c r="E12" s="22" t="str">
        <x:f>IF(C12&lt;&gt;"","Locked",IF(B12&lt;&gt;"","Claimed","Unclaimed"))</x:f>
        <x:v>Unclaimed</x:v>
      </x:c>
      <x:c r="F12" s="20" t="str">
        <x:v>fenway-kenmore</x:v>
      </x:c>
    </x:row>
    <x:row r="13" ht="24" customHeight="1">
      <x:c r="A13" s="8" t="str">
        <x:v>Hyde Park</x:v>
      </x:c>
      <x:c r="B13" s="21"/>
      <x:c r="C13" s="21"/>
      <x:c r="D13" s="22" t="str">
        <x:f>IF(C13&lt;&gt;"",INDEX(Instructions!$A$38:$A$41,MATCH(C13,Instructions!$E$38:$E$41,0)),IF(B13&lt;&gt;"",INDEX(Instructions!$A$38:$A$41,MATCH(B13,Instructions!$E$38:$E$41,0)),""))</x:f>
      </x:c>
      <x:c r="E13" s="22" t="str">
        <x:f>IF(C13&lt;&gt;"","Locked",IF(B13&lt;&gt;"","Claimed","Unclaimed"))</x:f>
        <x:v>Unclaimed</x:v>
      </x:c>
      <x:c r="F13" s="20" t="str">
        <x:v>hyde-park</x:v>
      </x:c>
    </x:row>
    <x:row r="14" ht="24" customHeight="1">
      <x:c r="A14" s="8" t="str">
        <x:v>Jamaica Plain</x:v>
      </x:c>
      <x:c r="B14" s="21"/>
      <x:c r="C14" s="21"/>
      <x:c r="D14" s="22" t="str">
        <x:f>IF(C14&lt;&gt;"",INDEX(Instructions!$A$38:$A$41,MATCH(C14,Instructions!$E$38:$E$41,0)),IF(B14&lt;&gt;"",INDEX(Instructions!$A$38:$A$41,MATCH(B14,Instructions!$E$38:$E$41,0)),""))</x:f>
      </x:c>
      <x:c r="E14" s="22" t="str">
        <x:f>IF(C14&lt;&gt;"","Locked",IF(B14&lt;&gt;"","Claimed","Unclaimed"))</x:f>
        <x:v>Unclaimed</x:v>
      </x:c>
      <x:c r="F14" s="20" t="str">
        <x:v>jamaica-plain</x:v>
      </x:c>
    </x:row>
    <x:row r="15" ht="24" customHeight="1">
      <x:c r="A15" s="8" t="str">
        <x:v>Mattapan</x:v>
      </x:c>
      <x:c r="B15" s="21"/>
      <x:c r="C15" s="21"/>
      <x:c r="D15" s="22" t="str">
        <x:f>IF(C15&lt;&gt;"",INDEX(Instructions!$A$38:$A$41,MATCH(C15,Instructions!$E$38:$E$41,0)),IF(B15&lt;&gt;"",INDEX(Instructions!$A$38:$A$41,MATCH(B15,Instructions!$E$38:$E$41,0)),""))</x:f>
      </x:c>
      <x:c r="E15" s="22" t="str">
        <x:f>IF(C15&lt;&gt;"","Locked",IF(B15&lt;&gt;"","Claimed","Unclaimed"))</x:f>
        <x:v>Unclaimed</x:v>
      </x:c>
      <x:c r="F15" s="20" t="str">
        <x:v>mattapan</x:v>
      </x:c>
    </x:row>
    <x:row r="16" ht="24" customHeight="1">
      <x:c r="A16" s="8" t="str">
        <x:v>Mission Hill</x:v>
      </x:c>
      <x:c r="B16" s="21"/>
      <x:c r="C16" s="21"/>
      <x:c r="D16" s="22" t="str">
        <x:f>IF(C16&lt;&gt;"",INDEX(Instructions!$A$38:$A$41,MATCH(C16,Instructions!$E$38:$E$41,0)),IF(B16&lt;&gt;"",INDEX(Instructions!$A$38:$A$41,MATCH(B16,Instructions!$E$38:$E$41,0)),""))</x:f>
      </x:c>
      <x:c r="E16" s="22" t="str">
        <x:f>IF(C16&lt;&gt;"","Locked",IF(B16&lt;&gt;"","Claimed","Unclaimed"))</x:f>
        <x:v>Unclaimed</x:v>
      </x:c>
      <x:c r="F16" s="20" t="str">
        <x:v>mission-hill</x:v>
      </x:c>
    </x:row>
    <x:row r="17" ht="24" customHeight="1">
      <x:c r="A17" s="8" t="str">
        <x:v>North End</x:v>
      </x:c>
      <x:c r="B17" s="21"/>
      <x:c r="C17" s="21"/>
      <x:c r="D17" s="22" t="str">
        <x:f>IF(C17&lt;&gt;"",INDEX(Instructions!$A$38:$A$41,MATCH(C17,Instructions!$E$38:$E$41,0)),IF(B17&lt;&gt;"",INDEX(Instructions!$A$38:$A$41,MATCH(B17,Instructions!$E$38:$E$41,0)),""))</x:f>
      </x:c>
      <x:c r="E17" s="22" t="str">
        <x:f>IF(C17&lt;&gt;"","Locked",IF(B17&lt;&gt;"","Claimed","Unclaimed"))</x:f>
        <x:v>Unclaimed</x:v>
      </x:c>
      <x:c r="F17" s="20" t="str">
        <x:v>north-end</x:v>
      </x:c>
    </x:row>
    <x:row r="18" ht="24" customHeight="1">
      <x:c r="A18" s="8" t="str">
        <x:v>Roslindale</x:v>
      </x:c>
      <x:c r="B18" s="21"/>
      <x:c r="C18" s="21"/>
      <x:c r="D18" s="22" t="str">
        <x:f>IF(C18&lt;&gt;"",INDEX(Instructions!$A$38:$A$41,MATCH(C18,Instructions!$E$38:$E$41,0)),IF(B18&lt;&gt;"",INDEX(Instructions!$A$38:$A$41,MATCH(B18,Instructions!$E$38:$E$41,0)),""))</x:f>
      </x:c>
      <x:c r="E18" s="22" t="str">
        <x:f>IF(C18&lt;&gt;"","Locked",IF(B18&lt;&gt;"","Claimed","Unclaimed"))</x:f>
        <x:v>Unclaimed</x:v>
      </x:c>
      <x:c r="F18" s="20" t="str">
        <x:v>roslindale</x:v>
      </x:c>
    </x:row>
    <x:row r="19" ht="24" customHeight="1">
      <x:c r="A19" s="8" t="str">
        <x:v>Roxbury</x:v>
      </x:c>
      <x:c r="B19" s="21"/>
      <x:c r="C19" s="21"/>
      <x:c r="D19" s="22" t="str">
        <x:f>IF(C19&lt;&gt;"",INDEX(Instructions!$A$38:$A$41,MATCH(C19,Instructions!$E$38:$E$41,0)),IF(B19&lt;&gt;"",INDEX(Instructions!$A$38:$A$41,MATCH(B19,Instructions!$E$38:$E$41,0)),""))</x:f>
      </x:c>
      <x:c r="E19" s="22" t="str">
        <x:f>IF(C19&lt;&gt;"","Locked",IF(B19&lt;&gt;"","Claimed","Unclaimed"))</x:f>
        <x:v>Unclaimed</x:v>
      </x:c>
      <x:c r="F19" s="20" t="str">
        <x:v>roxbury</x:v>
      </x:c>
    </x:row>
    <x:row r="20" ht="24" customHeight="1">
      <x:c r="A20" s="8" t="str">
        <x:v>South Boston</x:v>
      </x:c>
      <x:c r="B20" s="21"/>
      <x:c r="C20" s="21"/>
      <x:c r="D20" s="22" t="str">
        <x:f>IF(C20&lt;&gt;"",INDEX(Instructions!$A$38:$A$41,MATCH(C20,Instructions!$E$38:$E$41,0)),IF(B20&lt;&gt;"",INDEX(Instructions!$A$38:$A$41,MATCH(B20,Instructions!$E$38:$E$41,0)),""))</x:f>
      </x:c>
      <x:c r="E20" s="22" t="str">
        <x:f>IF(C20&lt;&gt;"","Locked",IF(B20&lt;&gt;"","Claimed","Unclaimed"))</x:f>
        <x:v>Unclaimed</x:v>
      </x:c>
      <x:c r="F20" s="20" t="str">
        <x:v>south-boston</x:v>
      </x:c>
    </x:row>
    <x:row r="21" ht="24" customHeight="1">
      <x:c r="A21" s="8" t="str">
        <x:v>South End</x:v>
      </x:c>
      <x:c r="B21" s="21" t="str">
        <x:v>Team 3</x:v>
      </x:c>
      <x:c r="C21" s="21"/>
      <x:c r="D21" s="22" t="str">
        <x:f>IF(C21&lt;&gt;"",INDEX(Instructions!$A$38:$A$41,MATCH(C21,Instructions!$E$38:$E$41,0)),IF(B21&lt;&gt;"",INDEX(Instructions!$A$38:$A$41,MATCH(B21,Instructions!$E$38:$E$41,0)),""))</x:f>
        <x:v>Yellow</x:v>
      </x:c>
      <x:c r="E21" s="22" t="str">
        <x:f>IF(C21&lt;&gt;"","Locked",IF(B21&lt;&gt;"","Claimed","Unclaimed"))</x:f>
        <x:v>Claimed</x:v>
      </x:c>
      <x:c r="F21" s="20" t="str">
        <x:v>south-end</x:v>
      </x:c>
    </x:row>
    <x:row r="22" ht="24" customHeight="1">
      <x:c r="A22" s="8" t="str">
        <x:v>West End</x:v>
      </x:c>
      <x:c r="B22" s="21"/>
      <x:c r="C22" s="21"/>
      <x:c r="D22" s="22" t="str">
        <x:f>IF(C22&lt;&gt;"",INDEX(Instructions!$A$38:$A$41,MATCH(C22,Instructions!$E$38:$E$41,0)),IF(B22&lt;&gt;"",INDEX(Instructions!$A$38:$A$41,MATCH(B22,Instructions!$E$38:$E$41,0)),""))</x:f>
      </x:c>
      <x:c r="E22" s="22" t="str">
        <x:f>IF(C22&lt;&gt;"","Locked",IF(B22&lt;&gt;"","Claimed","Unclaimed"))</x:f>
        <x:v>Unclaimed</x:v>
      </x:c>
      <x:c r="F22" s="20" t="str">
        <x:v>west-end</x:v>
      </x:c>
    </x:row>
    <x:row r="23" ht="24" customHeight="1">
      <x:c r="A23" s="8" t="str">
        <x:v>West Roxbury</x:v>
      </x:c>
      <x:c r="B23" s="21"/>
      <x:c r="C23" s="21"/>
      <x:c r="D23" s="22" t="str">
        <x:f>IF(C23&lt;&gt;"",INDEX(Instructions!$A$38:$A$41,MATCH(C23,Instructions!$E$38:$E$41,0)),IF(B23&lt;&gt;"",INDEX(Instructions!$A$38:$A$41,MATCH(B23,Instructions!$E$38:$E$41,0)),""))</x:f>
      </x:c>
      <x:c r="E23" s="22" t="str">
        <x:f>IF(C23&lt;&gt;"","Locked",IF(B23&lt;&gt;"","Claimed","Unclaimed"))</x:f>
        <x:v>Unclaimed</x:v>
      </x:c>
      <x:c r="F23" s="20" t="str">
        <x:v>west-roxbury</x:v>
      </x:c>
    </x:row>
    <x:row r="24" ht="24" customHeight="1">
      <x:c r="A24" s="8" t="str">
        <x:v>Seaport</x:v>
      </x:c>
      <x:c r="B24" s="21" t="str">
        <x:v>Team 2</x:v>
      </x:c>
      <x:c r="C24" s="21"/>
      <x:c r="D24" s="22" t="str">
        <x:f>IF(C24&lt;&gt;"",INDEX(Instructions!$A$38:$A$41,MATCH(C24,Instructions!$E$38:$E$41,0)),IF(B24&lt;&gt;"",INDEX(Instructions!$A$38:$A$41,MATCH(B24,Instructions!$E$38:$E$41,0)),""))</x:f>
        <x:v>Red</x:v>
      </x:c>
      <x:c r="E24" s="22" t="str">
        <x:f>IF(C24&lt;&gt;"","Locked",IF(B24&lt;&gt;"","Claimed","Unclaimed"))</x:f>
        <x:v>Claimed</x:v>
      </x:c>
      <x:c r="F24" s="20" t="str">
        <x:v>seaport</x:v>
      </x:c>
    </x:row>
    <x:row r="25" ht="24" customHeight="1">
      <x:c r="A25" s="8" t="str">
        <x:v>Cambridge</x:v>
      </x:c>
      <x:c r="B25" s="21" t="str">
        <x:v>Team 4</x:v>
      </x:c>
      <x:c r="C25" s="21"/>
      <x:c r="D25" s="22" t="str">
        <x:f>IF(C25&lt;&gt;"",INDEX(Instructions!$A$38:$A$41,MATCH(C25,Instructions!$E$38:$E$41,0)),IF(B25&lt;&gt;"",INDEX(Instructions!$A$38:$A$41,MATCH(B25,Instructions!$E$38:$E$41,0)),""))</x:f>
        <x:v>Green</x:v>
      </x:c>
      <x:c r="E25" s="22" t="str">
        <x:f>IF(C25&lt;&gt;"","Locked",IF(B25&lt;&gt;"","Claimed","Unclaimed"))</x:f>
        <x:v>Claimed</x:v>
      </x:c>
      <x:c r="F25" s="20" t="str">
        <x:v>cambridge</x:v>
      </x:c>
    </x:row>
    <x:row r="26" ht="24" customHeight="1">
      <x:c r="A26" s="8" t="str">
        <x:v>Somerville</x:v>
      </x:c>
      <x:c r="B26" s="21" t="str">
        <x:v>Team 3</x:v>
      </x:c>
      <x:c r="C26" s="21" t="str">
        <x:v>Team 3</x:v>
      </x:c>
      <x:c r="D26" s="22" t="str">
        <x:f>IF(C26&lt;&gt;"",INDEX(Instructions!$A$38:$A$41,MATCH(C26,Instructions!$E$38:$E$41,0)),IF(B26&lt;&gt;"",INDEX(Instructions!$A$38:$A$41,MATCH(B26,Instructions!$E$38:$E$41,0)),""))</x:f>
        <x:v>Yellow</x:v>
      </x:c>
      <x:c r="E26" s="22" t="str">
        <x:f>IF(C26&lt;&gt;"","Locked",IF(B26&lt;&gt;"","Claimed","Unclaimed"))</x:f>
        <x:v>Locked</x:v>
      </x:c>
      <x:c r="F26" s="20" t="str">
        <x:v>somerville</x:v>
      </x:c>
    </x:row>
    <x:row r="27" ht="24" customHeight="1">
      <x:c r="A27" s="8" t="str">
        <x:v>Everett</x:v>
      </x:c>
      <x:c r="B27" s="21"/>
      <x:c r="C27" s="21"/>
      <x:c r="D27" s="22" t="str">
        <x:f>IF(C27&lt;&gt;"",INDEX(Instructions!$A$38:$A$41,MATCH(C27,Instructions!$E$38:$E$41,0)),IF(B27&lt;&gt;"",INDEX(Instructions!$A$38:$A$41,MATCH(B27,Instructions!$E$38:$E$41,0)),""))</x:f>
      </x:c>
      <x:c r="E27" s="22" t="str">
        <x:f>IF(C27&lt;&gt;"","Locked",IF(B27&lt;&gt;"","Claimed","Unclaimed"))</x:f>
        <x:v>Unclaimed</x:v>
      </x:c>
      <x:c r="F27" s="20" t="str">
        <x:v>everett</x:v>
      </x:c>
    </x:row>
    <x:row r="28" ht="24" customHeight="1">
      <x:c r="A28" s="8" t="str">
        <x:v>Chelsea</x:v>
      </x:c>
      <x:c r="B28" s="21"/>
      <x:c r="C28" s="21"/>
      <x:c r="D28" s="22" t="str">
        <x:f>IF(C28&lt;&gt;"",INDEX(Instructions!$A$38:$A$41,MATCH(C28,Instructions!$E$38:$E$41,0)),IF(B28&lt;&gt;"",INDEX(Instructions!$A$38:$A$41,MATCH(B28,Instructions!$E$38:$E$41,0)),""))</x:f>
      </x:c>
      <x:c r="E28" s="22" t="str">
        <x:f>IF(C28&lt;&gt;"","Locked",IF(B28&lt;&gt;"","Claimed","Unclaimed"))</x:f>
        <x:v>Unclaimed</x:v>
      </x:c>
      <x:c r="F28" s="20" t="str">
        <x:v>chelsea</x:v>
      </x:c>
    </x:row>
    <x:row r="29" ht="24" customHeight="1">
      <x:c r="A29" s="8" t="str">
        <x:v>Revere</x:v>
      </x:c>
      <x:c r="B29" s="21"/>
      <x:c r="C29" s="21"/>
      <x:c r="D29" s="22" t="str">
        <x:f>IF(C29&lt;&gt;"",INDEX(Instructions!$A$38:$A$41,MATCH(C29,Instructions!$E$38:$E$41,0)),IF(B29&lt;&gt;"",INDEX(Instructions!$A$38:$A$41,MATCH(B29,Instructions!$E$38:$E$41,0)),""))</x:f>
      </x:c>
      <x:c r="E29" s="22" t="str">
        <x:f>IF(C29&lt;&gt;"","Locked",IF(B29&lt;&gt;"","Claimed","Unclaimed"))</x:f>
        <x:v>Unclaimed</x:v>
      </x:c>
      <x:c r="F29" s="20" t="str">
        <x:v>revere</x:v>
      </x:c>
    </x:row>
    <x:row r="30" ht="24" customHeight="1">
      <x:c r="A30" s="8" t="str">
        <x:v>Malden</x:v>
      </x:c>
      <x:c r="B30" s="21"/>
      <x:c r="C30" s="21"/>
      <x:c r="D30" s="22" t="str">
        <x:f>IF(C30&lt;&gt;"",INDEX(Instructions!$A$38:$A$41,MATCH(C30,Instructions!$E$38:$E$41,0)),IF(B30&lt;&gt;"",INDEX(Instructions!$A$38:$A$41,MATCH(B30,Instructions!$E$38:$E$41,0)),""))</x:f>
      </x:c>
      <x:c r="E30" s="22" t="str">
        <x:f>IF(C30&lt;&gt;"","Locked",IF(B30&lt;&gt;"","Claimed","Unclaimed"))</x:f>
        <x:v>Unclaimed</x:v>
      </x:c>
      <x:c r="F30" s="20" t="str">
        <x:v>malden</x:v>
      </x:c>
    </x:row>
    <x:row r="31" ht="24" customHeight="1">
      <x:c r="A31" s="8" t="str">
        <x:v>Medford</x:v>
      </x:c>
      <x:c r="B31" s="21"/>
      <x:c r="C31" s="21"/>
      <x:c r="D31" s="22" t="str">
        <x:f>IF(C31&lt;&gt;"",INDEX(Instructions!$A$38:$A$41,MATCH(C31,Instructions!$E$38:$E$41,0)),IF(B31&lt;&gt;"",INDEX(Instructions!$A$38:$A$41,MATCH(B31,Instructions!$E$38:$E$41,0)),""))</x:f>
      </x:c>
      <x:c r="E31" s="22" t="str">
        <x:f>IF(C31&lt;&gt;"","Locked",IF(B31&lt;&gt;"","Claimed","Unclaimed"))</x:f>
        <x:v>Unclaimed</x:v>
      </x:c>
      <x:c r="F31" s="20" t="str">
        <x:v>medford</x:v>
      </x:c>
    </x:row>
    <x:row r="32" ht="24" customHeight="1">
      <x:c r="A32" s="8" t="str">
        <x:v>Brookline</x:v>
      </x:c>
      <x:c r="B32" s="21"/>
      <x:c r="C32" s="21"/>
      <x:c r="D32" s="22" t="str">
        <x:f>IF(C32&lt;&gt;"",INDEX(Instructions!$A$38:$A$41,MATCH(C32,Instructions!$E$38:$E$41,0)),IF(B32&lt;&gt;"",INDEX(Instructions!$A$38:$A$41,MATCH(B32,Instructions!$E$38:$E$41,0)),""))</x:f>
      </x:c>
      <x:c r="E32" s="22" t="str">
        <x:f>IF(C32&lt;&gt;"","Locked",IF(B32&lt;&gt;"","Claimed","Unclaimed"))</x:f>
        <x:v>Unclaimed</x:v>
      </x:c>
      <x:c r="F32" s="20" t="str">
        <x:v>brookline</x:v>
      </x:c>
    </x:row>
    <x:row r="33" ht="24" customHeight="1">
      <x:c r="A33" s="8" t="str">
        <x:v>Newton</x:v>
      </x:c>
      <x:c r="B33" s="21"/>
      <x:c r="C33" s="21"/>
      <x:c r="D33" s="22" t="str">
        <x:f>IF(C33&lt;&gt;"",INDEX(Instructions!$A$38:$A$41,MATCH(C33,Instructions!$E$38:$E$41,0)),IF(B33&lt;&gt;"",INDEX(Instructions!$A$38:$A$41,MATCH(B33,Instructions!$E$38:$E$41,0)),""))</x:f>
      </x:c>
      <x:c r="E33" s="22" t="str">
        <x:f>IF(C33&lt;&gt;"","Locked",IF(B33&lt;&gt;"","Claimed","Unclaimed"))</x:f>
        <x:v>Unclaimed</x:v>
      </x:c>
      <x:c r="F33" s="20" t="str">
        <x:v>newton</x:v>
      </x:c>
    </x:row>
    <x:row r="34" ht="24" customHeight="1">
      <x:c r="A34" s="8" t="str">
        <x:v>Quincy</x:v>
      </x:c>
      <x:c r="B34" s="21" t="str">
        <x:v>Team 1</x:v>
      </x:c>
      <x:c r="C34" s="21" t="str">
        <x:v>Team 1</x:v>
      </x:c>
      <x:c r="D34" s="22" t="str">
        <x:f>IF(C34&lt;&gt;"",INDEX(Instructions!$A$38:$A$41,MATCH(C34,Instructions!$E$38:$E$41,0)),IF(B34&lt;&gt;"",INDEX(Instructions!$A$38:$A$41,MATCH(B34,Instructions!$E$38:$E$41,0)),""))</x:f>
        <x:v>Blue</x:v>
      </x:c>
      <x:c r="E34" s="22" t="str">
        <x:f>IF(C34&lt;&gt;"","Locked",IF(B34&lt;&gt;"","Claimed","Unclaimed"))</x:f>
        <x:v>Locked</x:v>
      </x:c>
      <x:c r="F34" s="20" t="str">
        <x:v>quincy</x:v>
      </x:c>
    </x:row>
    <x:row r="35" ht="24" customHeight="1">
      <x:c r="A35" s="8" t="str">
        <x:v>Braintree</x:v>
      </x:c>
      <x:c r="B35" s="21"/>
      <x:c r="C35" s="21"/>
      <x:c r="D35" s="22" t="str">
        <x:f>IF(C35&lt;&gt;"",INDEX(Instructions!$A$38:$A$41,MATCH(C35,Instructions!$E$38:$E$41,0)),IF(B35&lt;&gt;"",INDEX(Instructions!$A$38:$A$41,MATCH(B35,Instructions!$E$38:$E$41,0)),""))</x:f>
      </x:c>
      <x:c r="E35" s="22" t="str">
        <x:f>IF(C35&lt;&gt;"","Locked",IF(B35&lt;&gt;"","Claimed","Unclaimed"))</x:f>
        <x:v>Unclaimed</x:v>
      </x:c>
      <x:c r="F35" s="20" t="str">
        <x:v>braintree</x:v>
      </x:c>
    </x:row>
    <x:row r="36" ht="24" customHeight="1">
      <x:c r="A36" s="8" t="str">
        <x:v>Winthrop</x:v>
      </x:c>
      <x:c r="B36" s="21"/>
      <x:c r="C36" s="21"/>
      <x:c r="D36" s="22" t="str">
        <x:f>IF(C36&lt;&gt;"",INDEX(Instructions!$A$38:$A$41,MATCH(C36,Instructions!$E$38:$E$41,0)),IF(B36&lt;&gt;"",INDEX(Instructions!$A$38:$A$41,MATCH(B36,Instructions!$E$38:$E$41,0)),""))</x:f>
      </x:c>
      <x:c r="E36" s="22" t="str">
        <x:f>IF(C36&lt;&gt;"","Locked",IF(B36&lt;&gt;"","Claimed","Unclaimed"))</x:f>
        <x:v>Unclaimed</x:v>
      </x:c>
      <x:c r="F36" s="20" t="str">
        <x:v>winthrop</x:v>
      </x:c>
    </x:row>
    <x:row r="37" ht="24" customHeight="1">
      <x:c r="A37" s="8" t="str">
        <x:v>Milton</x:v>
      </x:c>
      <x:c r="B37" s="21" t="str">
        <x:v>Team 4</x:v>
      </x:c>
      <x:c r="C37" s="21" t="str">
        <x:v>Team 3</x:v>
      </x:c>
      <x:c r="D37" s="22" t="str">
        <x:f>IF(C37&lt;&gt;"",INDEX(Instructions!$A$38:$A$41,MATCH(C37,Instructions!$E$38:$E$41,0)),IF(B37&lt;&gt;"",INDEX(Instructions!$A$38:$A$41,MATCH(B37,Instructions!$E$38:$E$41,0)),""))</x:f>
        <x:v>Yellow</x:v>
      </x:c>
      <x:c r="E37" s="22" t="str">
        <x:f>IF(C37&lt;&gt;"","Locked",IF(B37&lt;&gt;"","Claimed","Unclaimed"))</x:f>
        <x:v>Locked</x:v>
      </x:c>
      <x:c r="F37" s="20" t="str">
        <x:v>milton</x:v>
      </x:c>
    </x:row>
    <x:row r="38" ht="24" customHeight="1">
      <x:c r="A38" s="8" t="str">
        <x:v>Longwood</x:v>
      </x:c>
      <x:c r="B38" s="21"/>
      <x:c r="C38" s="21"/>
      <x:c r="D38" s="22" t="str">
        <x:f>IF(C38&lt;&gt;"",INDEX(Instructions!$A$38:$A$41,MATCH(C38,Instructions!$E$38:$E$41,0)),IF(B38&lt;&gt;"",INDEX(Instructions!$A$38:$A$41,MATCH(B38,Instructions!$E$38:$E$41,0)),""))</x:f>
      </x:c>
      <x:c r="E38" s="22" t="str">
        <x:f>IF(C38&lt;&gt;"","Locked",IF(B38&lt;&gt;"","Claimed","Unclaimed"))</x:f>
        <x:v>Unclaimed</x:v>
      </x:c>
      <x:c r="F38" s="20" t="str">
        <x:v>longwood</x:v>
      </x:c>
    </x:row>
  </x:sheetData>
  <x:conditionalFormatting sqref="D2:D38">
    <x:cfRule type="cellIs" dxfId="2" priority="1" operator="equal">
      <x:formula>"Blue"</x:formula>
    </x:cfRule>
    <x:cfRule type="cellIs" dxfId="3" priority="2" operator="equal">
      <x:formula>"Red"</x:formula>
    </x:cfRule>
    <x:cfRule type="cellIs" dxfId="4" priority="3" operator="equal">
      <x:formula>"Green"</x:formula>
    </x:cfRule>
    <x:cfRule type="cellIs" dxfId="5" priority="4" operator="equal">
      <x:formula>"Purple"</x:formula>
    </x:cfRule>
  </x:conditionalFormatting>
  <x:dataValidations count="1">
    <x:dataValidation type="list" sqref="B2:C38">
      <x:formula1>Instructions!$G$38:$G$41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273E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hidden="1" customWidth="1"/>
    <x:col min="7" max="7" width="26.25" hidden="1" customWidth="1"/>
    <x:col min="8" max="8" width="18" hidden="1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 t="str">
        <x:v>Team ID</x:v>
      </x:c>
      <x:c r="I1" s="13" t="str">
        <x:f>Instructions!$A$38&amp;" TEAM / CURRENT CHALLENGE"</x:f>
        <x:v>Blue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f>Instructions!$A$38</x:f>
        <x:v>Blue</x:v>
      </x:c>
      <x:c r="G2" s="20" t="str">
        <x:v>allston</x:v>
      </x:c>
      <x:c r="H2" s="20" t="str">
        <x:f>Instructions!$F$38</x:f>
        <x:v>team-1</x:v>
      </x:c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f>Instructions!$A$38</x:f>
        <x:v>Blue</x:v>
      </x:c>
      <x:c r="G3" s="20" t="str">
        <x:v>back-bay</x:v>
      </x:c>
      <x:c r="H3" s="20" t="str">
        <x:f>Instructions!$F$38</x:f>
        <x:v>team-1</x:v>
      </x:c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f>Instructions!$A$38</x:f>
        <x:v>Blue</x:v>
      </x:c>
      <x:c r="G4" s="20" t="str">
        <x:v>bay-village</x:v>
      </x:c>
      <x:c r="H4" s="20" t="str">
        <x:f>Instructions!$F$38</x:f>
        <x:v>team-1</x:v>
      </x:c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f>Instructions!$A$38</x:f>
        <x:v>Blue</x:v>
      </x:c>
      <x:c r="G5" s="20" t="str">
        <x:v>beacon-hill</x:v>
      </x:c>
      <x:c r="H5" s="20" t="str">
        <x:f>Instructions!$F$38</x:f>
        <x:v>team-1</x:v>
      </x:c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f>Instructions!$A$38</x:f>
        <x:v>Blue</x:v>
      </x:c>
      <x:c r="G6" s="20" t="str">
        <x:v>brighton</x:v>
      </x:c>
      <x:c r="H6" s="20" t="str">
        <x:f>Instructions!$F$38</x:f>
        <x:v>team-1</x:v>
      </x:c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f>Instructions!$A$38</x:f>
        <x:v>Blue</x:v>
      </x:c>
      <x:c r="G7" s="20" t="str">
        <x:v>charlestown</x:v>
      </x:c>
      <x:c r="H7" s="20" t="str">
        <x:f>Instructions!$F$38</x:f>
        <x:v>team-1</x:v>
      </x:c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f>Instructions!$A$38</x:f>
        <x:v>Blue</x:v>
      </x:c>
      <x:c r="G8" s="20" t="str">
        <x:v>chinatown-leather-district</x:v>
      </x:c>
      <x:c r="H8" s="20" t="str">
        <x:f>Instructions!$F$38</x:f>
        <x:v>team-1</x:v>
      </x:c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f>Instructions!$A$38</x:f>
        <x:v>Blue</x:v>
      </x:c>
      <x:c r="G9" s="20" t="str">
        <x:v>dorchester</x:v>
      </x:c>
      <x:c r="H9" s="20" t="str">
        <x:f>Instructions!$F$38</x:f>
        <x:v>team-1</x:v>
      </x:c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f>Instructions!$A$38</x:f>
        <x:v>Blue</x:v>
      </x:c>
      <x:c r="G10" s="20" t="str">
        <x:v>downtown</x:v>
      </x:c>
      <x:c r="H10" s="20" t="str">
        <x:f>Instructions!$F$38</x:f>
        <x:v>team-1</x:v>
      </x:c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f>Instructions!$A$38</x:f>
        <x:v>Blue</x:v>
      </x:c>
      <x:c r="G11" s="20" t="str">
        <x:v>east-boston</x:v>
      </x:c>
      <x:c r="H11" s="20" t="str">
        <x:f>Instructions!$F$38</x:f>
        <x:v>team-1</x:v>
      </x:c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f>Instructions!$A$38</x:f>
        <x:v>Blue</x:v>
      </x:c>
      <x:c r="G12" s="20" t="str">
        <x:v>fenway-kenmore</x:v>
      </x:c>
      <x:c r="H12" s="20" t="str">
        <x:f>Instructions!$F$38</x:f>
        <x:v>team-1</x:v>
      </x:c>
      <x:c r="I12" s="8" t="str">
        <x:f>IF(Instructions!$C$38="Yes","Active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f>Instructions!$A$38</x:f>
        <x:v>Blue</x:v>
      </x:c>
      <x:c r="G13" s="20" t="str">
        <x:v>hyde-park</x:v>
      </x:c>
      <x:c r="H13" s="20" t="str">
        <x:f>Instructions!$F$38</x:f>
        <x:v>team-1</x:v>
      </x:c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f>Instructions!$A$38</x:f>
        <x:v>Blue</x:v>
      </x:c>
      <x:c r="G14" s="20" t="str">
        <x:v>jamaica-plain</x:v>
      </x:c>
      <x:c r="H14" s="20" t="str">
        <x:f>Instructions!$F$38</x:f>
        <x:v>team-1</x:v>
      </x:c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f>Instructions!$A$38</x:f>
        <x:v>Blue</x:v>
      </x:c>
      <x:c r="G15" s="20" t="str">
        <x:v>mattapan</x:v>
      </x:c>
      <x:c r="H15" s="20" t="str">
        <x:f>Instructions!$F$38</x:f>
        <x:v>team-1</x:v>
      </x:c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f>Instructions!$A$38</x:f>
        <x:v>Blue</x:v>
      </x:c>
      <x:c r="G16" s="20" t="str">
        <x:v>mission-hill</x:v>
      </x:c>
      <x:c r="H16" s="20" t="str">
        <x:f>Instructions!$F$38</x:f>
        <x:v>team-1</x:v>
      </x:c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f>Instructions!$A$38</x:f>
        <x:v>Blue</x:v>
      </x:c>
      <x:c r="G17" s="20" t="str">
        <x:v>north-end</x:v>
      </x:c>
      <x:c r="H17" s="20" t="str">
        <x:f>Instructions!$F$38</x:f>
        <x:v>team-1</x:v>
      </x:c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f>Instructions!$A$38</x:f>
        <x:v>Blue</x:v>
      </x:c>
      <x:c r="G18" s="20" t="str">
        <x:v>roslindale</x:v>
      </x:c>
      <x:c r="H18" s="20" t="str">
        <x:f>Instructions!$F$38</x:f>
        <x:v>team-1</x:v>
      </x:c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f>Instructions!$A$38</x:f>
        <x:v>Blue</x:v>
      </x:c>
      <x:c r="G19" s="20" t="str">
        <x:v>roxbury</x:v>
      </x:c>
      <x:c r="H19" s="20" t="str">
        <x:f>Instructions!$F$38</x:f>
        <x:v>team-1</x:v>
      </x:c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f>Instructions!$A$38</x:f>
        <x:v>Blue</x:v>
      </x:c>
      <x:c r="G20" s="20" t="str">
        <x:v>south-boston</x:v>
      </x:c>
      <x:c r="H20" s="20" t="str">
        <x:f>Instructions!$F$38</x:f>
        <x:v>team-1</x:v>
      </x:c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f>Instructions!$A$38</x:f>
        <x:v>Blue</x:v>
      </x:c>
      <x:c r="G21" s="20" t="str">
        <x:v>south-end</x:v>
      </x:c>
      <x:c r="H21" s="20" t="str">
        <x:f>Instructions!$F$38</x:f>
        <x:v>team-1</x:v>
      </x:c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f>Instructions!$A$38</x:f>
        <x:v>Blue</x:v>
      </x:c>
      <x:c r="G22" s="20" t="str">
        <x:v>west-end</x:v>
      </x:c>
      <x:c r="H22" s="20" t="str">
        <x:f>Instructions!$F$38</x:f>
        <x:v>team-1</x:v>
      </x:c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f>Instructions!$A$38</x:f>
        <x:v>Blue</x:v>
      </x:c>
      <x:c r="G23" s="20" t="str">
        <x:v>west-roxbury</x:v>
      </x:c>
      <x:c r="H23" s="20" t="str">
        <x:f>Instructions!$F$38</x:f>
        <x:v>team-1</x:v>
      </x:c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f>Instructions!$A$38</x:f>
        <x:v>Blue</x:v>
      </x:c>
      <x:c r="G24" s="20" t="str">
        <x:v>seaport</x:v>
      </x:c>
      <x:c r="H24" s="20" t="str">
        <x:f>Instructions!$F$38</x:f>
        <x:v>team-1</x:v>
      </x:c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f>Instructions!$A$38</x:f>
        <x:v>Blue</x:v>
      </x:c>
      <x:c r="G25" s="20" t="str">
        <x:v>cambridge</x:v>
      </x:c>
      <x:c r="H25" s="20" t="str">
        <x:f>Instructions!$F$38</x:f>
        <x:v>team-1</x:v>
      </x:c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f>Instructions!$A$38</x:f>
        <x:v>Blue</x:v>
      </x:c>
      <x:c r="G26" s="20" t="str">
        <x:v>somerville</x:v>
      </x:c>
      <x:c r="H26" s="20" t="str">
        <x:f>Instructions!$F$38</x:f>
        <x:v>team-1</x:v>
      </x:c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f>Instructions!$A$38</x:f>
        <x:v>Blue</x:v>
      </x:c>
      <x:c r="G27" s="20" t="str">
        <x:v>everett</x:v>
      </x:c>
      <x:c r="H27" s="20" t="str">
        <x:f>Instructions!$F$38</x:f>
        <x:v>team-1</x:v>
      </x:c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f>Instructions!$A$38</x:f>
        <x:v>Blue</x:v>
      </x:c>
      <x:c r="G28" s="20" t="str">
        <x:v>chelsea</x:v>
      </x:c>
      <x:c r="H28" s="20" t="str">
        <x:f>Instructions!$F$38</x:f>
        <x:v>team-1</x:v>
      </x:c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f>Instructions!$A$38</x:f>
        <x:v>Blue</x:v>
      </x:c>
      <x:c r="G29" s="20" t="str">
        <x:v>revere</x:v>
      </x:c>
      <x:c r="H29" s="20" t="str">
        <x:f>Instructions!$F$38</x:f>
        <x:v>team-1</x:v>
      </x:c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f>Instructions!$A$38</x:f>
        <x:v>Blue</x:v>
      </x:c>
      <x:c r="G30" s="20" t="str">
        <x:v>malden</x:v>
      </x:c>
      <x:c r="H30" s="20" t="str">
        <x:f>Instructions!$F$38</x:f>
        <x:v>team-1</x:v>
      </x:c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f>Instructions!$A$38</x:f>
        <x:v>Blue</x:v>
      </x:c>
      <x:c r="G31" s="20" t="str">
        <x:v>medford</x:v>
      </x:c>
      <x:c r="H31" s="20" t="str">
        <x:f>Instructions!$F$38</x:f>
        <x:v>team-1</x:v>
      </x:c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f>Instructions!$A$38</x:f>
        <x:v>Blue</x:v>
      </x:c>
      <x:c r="G32" s="20" t="str">
        <x:v>brookline</x:v>
      </x:c>
      <x:c r="H32" s="20" t="str">
        <x:f>Instructions!$F$38</x:f>
        <x:v>team-1</x:v>
      </x:c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f>Instructions!$A$38</x:f>
        <x:v>Blue</x:v>
      </x:c>
      <x:c r="G33" s="20" t="str">
        <x:v>newton</x:v>
      </x:c>
      <x:c r="H33" s="20" t="str">
        <x:f>Instructions!$F$38</x:f>
        <x:v>team-1</x:v>
      </x:c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f>Instructions!$A$38</x:f>
        <x:v>Blue</x:v>
      </x:c>
      <x:c r="G34" s="20" t="str">
        <x:v>quincy</x:v>
      </x:c>
      <x:c r="H34" s="20" t="str">
        <x:f>Instructions!$F$38</x:f>
        <x:v>team-1</x:v>
      </x:c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f>Instructions!$A$38</x:f>
        <x:v>Blue</x:v>
      </x:c>
      <x:c r="G35" s="20" t="str">
        <x:v>braintree</x:v>
      </x:c>
      <x:c r="H35" s="20" t="str">
        <x:f>Instructions!$F$38</x:f>
        <x:v>team-1</x:v>
      </x:c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f>Instructions!$A$38</x:f>
        <x:v>Blue</x:v>
      </x:c>
      <x:c r="G36" s="20" t="str">
        <x:v>winthrop</x:v>
      </x:c>
      <x:c r="H36" s="20" t="str">
        <x:f>Instructions!$F$38</x:f>
        <x:v>team-1</x:v>
      </x:c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f>Instructions!$A$38</x:f>
        <x:v>Blue</x:v>
      </x:c>
      <x:c r="G37" s="20" t="str">
        <x:v>milton</x:v>
      </x:c>
      <x:c r="H37" s="20" t="str">
        <x:f>Instructions!$F$38</x:f>
        <x:v>team-1</x:v>
      </x:c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f>Instructions!$A$38</x:f>
        <x:v>Blue</x:v>
      </x:c>
      <x:c r="G38" s="20" t="str">
        <x:v>longwood</x:v>
      </x:c>
      <x:c r="H38" s="20" t="str">
        <x:f>Instructions!$F$38</x:f>
        <x:v>team-1</x:v>
      </x:c>
      <x:c r="I38" s="8"/>
      <x:c r="J38" s="8"/>
    </x:row>
  </x:sheetData>
  <x:conditionalFormatting sqref="D2:D38">
    <x:cfRule type="expression" dxfId="6" priority="1">
      <x:formula>LEN(D2)&gt;0</x:formula>
    </x:cfRule>
  </x:conditionalFormatting>
  <x:conditionalFormatting sqref="B2:B38">
    <x:cfRule type="cellIs" dxfId="7" priority="2" operator="equal">
      <x:formula>"Active"</x:formula>
    </x:cfRule>
    <x:cfRule type="cellIs" dxfId="8" priority="3" operator="equal">
      <x:formula>"Failed"</x:formula>
    </x:cfRule>
    <x:cfRule type="cellIs" dxfId="9" priority="4" operator="equal">
      <x:formula>"Succeeded"</x:formula>
    </x:cfRule>
  </x:conditionalFormatting>
  <x:conditionalFormatting sqref="E2:E38">
    <x:cfRule type="containsText" dxfId="10" priority="5" operator="containsText" text="No retry"/>
  </x:conditionalFormatting>
  <x:conditionalFormatting sqref="I2:I2">
    <x:cfRule type="containsText" dxfId="11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C4F3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hidden="1" customWidth="1"/>
    <x:col min="7" max="7" width="26.25" hidden="1" customWidth="1"/>
    <x:col min="8" max="8" width="18" hidden="1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 t="str">
        <x:v>Team ID</x:v>
      </x:c>
      <x:c r="I1" s="13" t="str">
        <x:f>Instructions!$A$39&amp;" TEAM / CURRENT CHALLENGE"</x:f>
        <x:v>Red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f>Instructions!$A$39</x:f>
        <x:v>Red</x:v>
      </x:c>
      <x:c r="G2" s="20" t="str">
        <x:v>allston</x:v>
      </x:c>
      <x:c r="H2" s="20" t="str">
        <x:f>Instructions!$F$39</x:f>
        <x:v>team-2</x:v>
      </x:c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f>Instructions!$A$39</x:f>
        <x:v>Red</x:v>
      </x:c>
      <x:c r="G3" s="20" t="str">
        <x:v>back-bay</x:v>
      </x:c>
      <x:c r="H3" s="20" t="str">
        <x:f>Instructions!$F$39</x:f>
        <x:v>team-2</x:v>
      </x:c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f>Instructions!$A$39</x:f>
        <x:v>Red</x:v>
      </x:c>
      <x:c r="G4" s="20" t="str">
        <x:v>bay-village</x:v>
      </x:c>
      <x:c r="H4" s="20" t="str">
        <x:f>Instructions!$F$39</x:f>
        <x:v>team-2</x:v>
      </x:c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f>Instructions!$A$39</x:f>
        <x:v>Red</x:v>
      </x:c>
      <x:c r="G5" s="20" t="str">
        <x:v>beacon-hill</x:v>
      </x:c>
      <x:c r="H5" s="20" t="str">
        <x:f>Instructions!$F$39</x:f>
        <x:v>team-2</x:v>
      </x:c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f>Instructions!$A$39</x:f>
        <x:v>Red</x:v>
      </x:c>
      <x:c r="G6" s="20" t="str">
        <x:v>brighton</x:v>
      </x:c>
      <x:c r="H6" s="20" t="str">
        <x:f>Instructions!$F$39</x:f>
        <x:v>team-2</x:v>
      </x:c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f>Instructions!$A$39</x:f>
        <x:v>Red</x:v>
      </x:c>
      <x:c r="G7" s="20" t="str">
        <x:v>charlestown</x:v>
      </x:c>
      <x:c r="H7" s="20" t="str">
        <x:f>Instructions!$F$39</x:f>
        <x:v>team-2</x:v>
      </x:c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f>Instructions!$A$39</x:f>
        <x:v>Red</x:v>
      </x:c>
      <x:c r="G8" s="20" t="str">
        <x:v>chinatown-leather-district</x:v>
      </x:c>
      <x:c r="H8" s="20" t="str">
        <x:f>Instructions!$F$39</x:f>
        <x:v>team-2</x:v>
      </x:c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f>Instructions!$A$39</x:f>
        <x:v>Red</x:v>
      </x:c>
      <x:c r="G9" s="20" t="str">
        <x:v>dorchester</x:v>
      </x:c>
      <x:c r="H9" s="20" t="str">
        <x:f>Instructions!$F$39</x:f>
        <x:v>team-2</x:v>
      </x:c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f>Instructions!$A$39</x:f>
        <x:v>Red</x:v>
      </x:c>
      <x:c r="G10" s="20" t="str">
        <x:v>downtown</x:v>
      </x:c>
      <x:c r="H10" s="20" t="str">
        <x:f>Instructions!$F$39</x:f>
        <x:v>team-2</x:v>
      </x:c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f>Instructions!$A$39</x:f>
        <x:v>Red</x:v>
      </x:c>
      <x:c r="G11" s="20" t="str">
        <x:v>east-boston</x:v>
      </x:c>
      <x:c r="H11" s="20" t="str">
        <x:f>Instructions!$F$39</x:f>
        <x:v>team-2</x:v>
      </x:c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f>Instructions!$A$39</x:f>
        <x:v>Red</x:v>
      </x:c>
      <x:c r="G12" s="20" t="str">
        <x:v>fenway-kenmore</x:v>
      </x:c>
      <x:c r="H12" s="20" t="str">
        <x:f>Instructions!$F$39</x:f>
        <x:v>team-2</x:v>
      </x:c>
      <x:c r="I12" s="8" t="str">
        <x:f>IF(Instructions!$C$39="Yes","Active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f>Instructions!$A$39</x:f>
        <x:v>Red</x:v>
      </x:c>
      <x:c r="G13" s="20" t="str">
        <x:v>hyde-park</x:v>
      </x:c>
      <x:c r="H13" s="20" t="str">
        <x:f>Instructions!$F$39</x:f>
        <x:v>team-2</x:v>
      </x:c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f>Instructions!$A$39</x:f>
        <x:v>Red</x:v>
      </x:c>
      <x:c r="G14" s="20" t="str">
        <x:v>jamaica-plain</x:v>
      </x:c>
      <x:c r="H14" s="20" t="str">
        <x:f>Instructions!$F$39</x:f>
        <x:v>team-2</x:v>
      </x:c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f>Instructions!$A$39</x:f>
        <x:v>Red</x:v>
      </x:c>
      <x:c r="G15" s="20" t="str">
        <x:v>mattapan</x:v>
      </x:c>
      <x:c r="H15" s="20" t="str">
        <x:f>Instructions!$F$39</x:f>
        <x:v>team-2</x:v>
      </x:c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f>Instructions!$A$39</x:f>
        <x:v>Red</x:v>
      </x:c>
      <x:c r="G16" s="20" t="str">
        <x:v>mission-hill</x:v>
      </x:c>
      <x:c r="H16" s="20" t="str">
        <x:f>Instructions!$F$39</x:f>
        <x:v>team-2</x:v>
      </x:c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f>Instructions!$A$39</x:f>
        <x:v>Red</x:v>
      </x:c>
      <x:c r="G17" s="20" t="str">
        <x:v>north-end</x:v>
      </x:c>
      <x:c r="H17" s="20" t="str">
        <x:f>Instructions!$F$39</x:f>
        <x:v>team-2</x:v>
      </x:c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f>Instructions!$A$39</x:f>
        <x:v>Red</x:v>
      </x:c>
      <x:c r="G18" s="20" t="str">
        <x:v>roslindale</x:v>
      </x:c>
      <x:c r="H18" s="20" t="str">
        <x:f>Instructions!$F$39</x:f>
        <x:v>team-2</x:v>
      </x:c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f>Instructions!$A$39</x:f>
        <x:v>Red</x:v>
      </x:c>
      <x:c r="G19" s="20" t="str">
        <x:v>roxbury</x:v>
      </x:c>
      <x:c r="H19" s="20" t="str">
        <x:f>Instructions!$F$39</x:f>
        <x:v>team-2</x:v>
      </x:c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f>Instructions!$A$39</x:f>
        <x:v>Red</x:v>
      </x:c>
      <x:c r="G20" s="20" t="str">
        <x:v>south-boston</x:v>
      </x:c>
      <x:c r="H20" s="20" t="str">
        <x:f>Instructions!$F$39</x:f>
        <x:v>team-2</x:v>
      </x:c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f>Instructions!$A$39</x:f>
        <x:v>Red</x:v>
      </x:c>
      <x:c r="G21" s="20" t="str">
        <x:v>south-end</x:v>
      </x:c>
      <x:c r="H21" s="20" t="str">
        <x:f>Instructions!$F$39</x:f>
        <x:v>team-2</x:v>
      </x:c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f>Instructions!$A$39</x:f>
        <x:v>Red</x:v>
      </x:c>
      <x:c r="G22" s="20" t="str">
        <x:v>west-end</x:v>
      </x:c>
      <x:c r="H22" s="20" t="str">
        <x:f>Instructions!$F$39</x:f>
        <x:v>team-2</x:v>
      </x:c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f>Instructions!$A$39</x:f>
        <x:v>Red</x:v>
      </x:c>
      <x:c r="G23" s="20" t="str">
        <x:v>west-roxbury</x:v>
      </x:c>
      <x:c r="H23" s="20" t="str">
        <x:f>Instructions!$F$39</x:f>
        <x:v>team-2</x:v>
      </x:c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f>Instructions!$A$39</x:f>
        <x:v>Red</x:v>
      </x:c>
      <x:c r="G24" s="20" t="str">
        <x:v>seaport</x:v>
      </x:c>
      <x:c r="H24" s="20" t="str">
        <x:f>Instructions!$F$39</x:f>
        <x:v>team-2</x:v>
      </x:c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f>Instructions!$A$39</x:f>
        <x:v>Red</x:v>
      </x:c>
      <x:c r="G25" s="20" t="str">
        <x:v>cambridge</x:v>
      </x:c>
      <x:c r="H25" s="20" t="str">
        <x:f>Instructions!$F$39</x:f>
        <x:v>team-2</x:v>
      </x:c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f>Instructions!$A$39</x:f>
        <x:v>Red</x:v>
      </x:c>
      <x:c r="G26" s="20" t="str">
        <x:v>somerville</x:v>
      </x:c>
      <x:c r="H26" s="20" t="str">
        <x:f>Instructions!$F$39</x:f>
        <x:v>team-2</x:v>
      </x:c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f>Instructions!$A$39</x:f>
        <x:v>Red</x:v>
      </x:c>
      <x:c r="G27" s="20" t="str">
        <x:v>everett</x:v>
      </x:c>
      <x:c r="H27" s="20" t="str">
        <x:f>Instructions!$F$39</x:f>
        <x:v>team-2</x:v>
      </x:c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f>Instructions!$A$39</x:f>
        <x:v>Red</x:v>
      </x:c>
      <x:c r="G28" s="20" t="str">
        <x:v>chelsea</x:v>
      </x:c>
      <x:c r="H28" s="20" t="str">
        <x:f>Instructions!$F$39</x:f>
        <x:v>team-2</x:v>
      </x:c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f>Instructions!$A$39</x:f>
        <x:v>Red</x:v>
      </x:c>
      <x:c r="G29" s="20" t="str">
        <x:v>revere</x:v>
      </x:c>
      <x:c r="H29" s="20" t="str">
        <x:f>Instructions!$F$39</x:f>
        <x:v>team-2</x:v>
      </x:c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f>Instructions!$A$39</x:f>
        <x:v>Red</x:v>
      </x:c>
      <x:c r="G30" s="20" t="str">
        <x:v>malden</x:v>
      </x:c>
      <x:c r="H30" s="20" t="str">
        <x:f>Instructions!$F$39</x:f>
        <x:v>team-2</x:v>
      </x:c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f>Instructions!$A$39</x:f>
        <x:v>Red</x:v>
      </x:c>
      <x:c r="G31" s="20" t="str">
        <x:v>medford</x:v>
      </x:c>
      <x:c r="H31" s="20" t="str">
        <x:f>Instructions!$F$39</x:f>
        <x:v>team-2</x:v>
      </x:c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f>Instructions!$A$39</x:f>
        <x:v>Red</x:v>
      </x:c>
      <x:c r="G32" s="20" t="str">
        <x:v>brookline</x:v>
      </x:c>
      <x:c r="H32" s="20" t="str">
        <x:f>Instructions!$F$39</x:f>
        <x:v>team-2</x:v>
      </x:c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f>Instructions!$A$39</x:f>
        <x:v>Red</x:v>
      </x:c>
      <x:c r="G33" s="20" t="str">
        <x:v>newton</x:v>
      </x:c>
      <x:c r="H33" s="20" t="str">
        <x:f>Instructions!$F$39</x:f>
        <x:v>team-2</x:v>
      </x:c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f>Instructions!$A$39</x:f>
        <x:v>Red</x:v>
      </x:c>
      <x:c r="G34" s="20" t="str">
        <x:v>quincy</x:v>
      </x:c>
      <x:c r="H34" s="20" t="str">
        <x:f>Instructions!$F$39</x:f>
        <x:v>team-2</x:v>
      </x:c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f>Instructions!$A$39</x:f>
        <x:v>Red</x:v>
      </x:c>
      <x:c r="G35" s="20" t="str">
        <x:v>braintree</x:v>
      </x:c>
      <x:c r="H35" s="20" t="str">
        <x:f>Instructions!$F$39</x:f>
        <x:v>team-2</x:v>
      </x:c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f>Instructions!$A$39</x:f>
        <x:v>Red</x:v>
      </x:c>
      <x:c r="G36" s="20" t="str">
        <x:v>winthrop</x:v>
      </x:c>
      <x:c r="H36" s="20" t="str">
        <x:f>Instructions!$F$39</x:f>
        <x:v>team-2</x:v>
      </x:c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f>Instructions!$A$39</x:f>
        <x:v>Red</x:v>
      </x:c>
      <x:c r="G37" s="20" t="str">
        <x:v>milton</x:v>
      </x:c>
      <x:c r="H37" s="20" t="str">
        <x:f>Instructions!$F$39</x:f>
        <x:v>team-2</x:v>
      </x:c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f>Instructions!$A$39</x:f>
        <x:v>Red</x:v>
      </x:c>
      <x:c r="G38" s="20" t="str">
        <x:v>longwood</x:v>
      </x:c>
      <x:c r="H38" s="20" t="str">
        <x:f>Instructions!$F$39</x:f>
        <x:v>team-2</x:v>
      </x:c>
      <x:c r="I38" s="8"/>
      <x:c r="J38" s="8"/>
    </x:row>
  </x:sheetData>
  <x:conditionalFormatting sqref="D2:D38">
    <x:cfRule type="expression" dxfId="12" priority="1">
      <x:formula>LEN(D2)&gt;0</x:formula>
    </x:cfRule>
  </x:conditionalFormatting>
  <x:conditionalFormatting sqref="B2:B38">
    <x:cfRule type="cellIs" dxfId="13" priority="2" operator="equal">
      <x:formula>"Active"</x:formula>
    </x:cfRule>
    <x:cfRule type="cellIs" dxfId="14" priority="3" operator="equal">
      <x:formula>"Failed"</x:formula>
    </x:cfRule>
    <x:cfRule type="cellIs" dxfId="15" priority="4" operator="equal">
      <x:formula>"Succeeded"</x:formula>
    </x:cfRule>
  </x:conditionalFormatting>
  <x:conditionalFormatting sqref="E2:E38">
    <x:cfRule type="containsText" dxfId="16" priority="5" operator="containsText" text="No retry"/>
  </x:conditionalFormatting>
  <x:conditionalFormatting sqref="I2:I2">
    <x:cfRule type="containsText" dxfId="17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835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hidden="1" customWidth="1"/>
    <x:col min="7" max="7" width="26.25" hidden="1" customWidth="1"/>
    <x:col min="8" max="8" width="18" hidden="1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 t="str">
        <x:v>Team ID</x:v>
      </x:c>
      <x:c r="I1" s="13" t="str">
        <x:f>Instructions!$A$41&amp;" TEAM / CURRENT CHALLENGE"</x:f>
        <x:v>Green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f>Instructions!$A$41</x:f>
        <x:v>Green</x:v>
      </x:c>
      <x:c r="G2" s="20" t="str">
        <x:v>allston</x:v>
      </x:c>
      <x:c r="H2" s="20" t="str">
        <x:f>Instructions!$F$41</x:f>
        <x:v>team-3</x:v>
      </x:c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f>Instructions!$A$41</x:f>
        <x:v>Green</x:v>
      </x:c>
      <x:c r="G3" s="20" t="str">
        <x:v>back-bay</x:v>
      </x:c>
      <x:c r="H3" s="20" t="str">
        <x:f>Instructions!$F$41</x:f>
        <x:v>team-3</x:v>
      </x:c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f>Instructions!$A$41</x:f>
        <x:v>Green</x:v>
      </x:c>
      <x:c r="G4" s="20" t="str">
        <x:v>bay-village</x:v>
      </x:c>
      <x:c r="H4" s="20" t="str">
        <x:f>Instructions!$F$41</x:f>
        <x:v>team-3</x:v>
      </x:c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f>Instructions!$A$41</x:f>
        <x:v>Green</x:v>
      </x:c>
      <x:c r="G5" s="20" t="str">
        <x:v>beacon-hill</x:v>
      </x:c>
      <x:c r="H5" s="20" t="str">
        <x:f>Instructions!$F$41</x:f>
        <x:v>team-3</x:v>
      </x:c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f>Instructions!$A$41</x:f>
        <x:v>Green</x:v>
      </x:c>
      <x:c r="G6" s="20" t="str">
        <x:v>brighton</x:v>
      </x:c>
      <x:c r="H6" s="20" t="str">
        <x:f>Instructions!$F$41</x:f>
        <x:v>team-3</x:v>
      </x:c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f>Instructions!$A$41</x:f>
        <x:v>Green</x:v>
      </x:c>
      <x:c r="G7" s="20" t="str">
        <x:v>charlestown</x:v>
      </x:c>
      <x:c r="H7" s="20" t="str">
        <x:f>Instructions!$F$41</x:f>
        <x:v>team-3</x:v>
      </x:c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f>Instructions!$A$41</x:f>
        <x:v>Green</x:v>
      </x:c>
      <x:c r="G8" s="20" t="str">
        <x:v>chinatown-leather-district</x:v>
      </x:c>
      <x:c r="H8" s="20" t="str">
        <x:f>Instructions!$F$41</x:f>
        <x:v>team-3</x:v>
      </x:c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f>Instructions!$A$41</x:f>
        <x:v>Green</x:v>
      </x:c>
      <x:c r="G9" s="20" t="str">
        <x:v>dorchester</x:v>
      </x:c>
      <x:c r="H9" s="20" t="str">
        <x:f>Instructions!$F$41</x:f>
        <x:v>team-3</x:v>
      </x:c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f>Instructions!$A$41</x:f>
        <x:v>Green</x:v>
      </x:c>
      <x:c r="G10" s="20" t="str">
        <x:v>downtown</x:v>
      </x:c>
      <x:c r="H10" s="20" t="str">
        <x:f>Instructions!$F$41</x:f>
        <x:v>team-3</x:v>
      </x:c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f>Instructions!$A$41</x:f>
        <x:v>Green</x:v>
      </x:c>
      <x:c r="G11" s="20" t="str">
        <x:v>east-boston</x:v>
      </x:c>
      <x:c r="H11" s="20" t="str">
        <x:f>Instructions!$F$41</x:f>
        <x:v>team-3</x:v>
      </x:c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f>Instructions!$A$41</x:f>
        <x:v>Green</x:v>
      </x:c>
      <x:c r="G12" s="20" t="str">
        <x:v>fenway-kenmore</x:v>
      </x:c>
      <x:c r="H12" s="20" t="str">
        <x:f>Instructions!$F$41</x:f>
        <x:v>team-3</x:v>
      </x:c>
      <x:c r="I12" s="8" t="str">
        <x:f>IF(Instructions!$C$41="Yes","Active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f>Instructions!$A$41</x:f>
        <x:v>Green</x:v>
      </x:c>
      <x:c r="G13" s="20" t="str">
        <x:v>hyde-park</x:v>
      </x:c>
      <x:c r="H13" s="20" t="str">
        <x:f>Instructions!$F$41</x:f>
        <x:v>team-3</x:v>
      </x:c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f>Instructions!$A$41</x:f>
        <x:v>Green</x:v>
      </x:c>
      <x:c r="G14" s="20" t="str">
        <x:v>jamaica-plain</x:v>
      </x:c>
      <x:c r="H14" s="20" t="str">
        <x:f>Instructions!$F$41</x:f>
        <x:v>team-3</x:v>
      </x:c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f>Instructions!$A$41</x:f>
        <x:v>Green</x:v>
      </x:c>
      <x:c r="G15" s="20" t="str">
        <x:v>mattapan</x:v>
      </x:c>
      <x:c r="H15" s="20" t="str">
        <x:f>Instructions!$F$41</x:f>
        <x:v>team-3</x:v>
      </x:c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f>Instructions!$A$41</x:f>
        <x:v>Green</x:v>
      </x:c>
      <x:c r="G16" s="20" t="str">
        <x:v>mission-hill</x:v>
      </x:c>
      <x:c r="H16" s="20" t="str">
        <x:f>Instructions!$F$41</x:f>
        <x:v>team-3</x:v>
      </x:c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f>Instructions!$A$41</x:f>
        <x:v>Green</x:v>
      </x:c>
      <x:c r="G17" s="20" t="str">
        <x:v>north-end</x:v>
      </x:c>
      <x:c r="H17" s="20" t="str">
        <x:f>Instructions!$F$41</x:f>
        <x:v>team-3</x:v>
      </x:c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f>Instructions!$A$41</x:f>
        <x:v>Green</x:v>
      </x:c>
      <x:c r="G18" s="20" t="str">
        <x:v>roslindale</x:v>
      </x:c>
      <x:c r="H18" s="20" t="str">
        <x:f>Instructions!$F$41</x:f>
        <x:v>team-3</x:v>
      </x:c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f>Instructions!$A$41</x:f>
        <x:v>Green</x:v>
      </x:c>
      <x:c r="G19" s="20" t="str">
        <x:v>roxbury</x:v>
      </x:c>
      <x:c r="H19" s="20" t="str">
        <x:f>Instructions!$F$41</x:f>
        <x:v>team-3</x:v>
      </x:c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f>Instructions!$A$41</x:f>
        <x:v>Green</x:v>
      </x:c>
      <x:c r="G20" s="20" t="str">
        <x:v>south-boston</x:v>
      </x:c>
      <x:c r="H20" s="20" t="str">
        <x:f>Instructions!$F$41</x:f>
        <x:v>team-3</x:v>
      </x:c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f>Instructions!$A$41</x:f>
        <x:v>Green</x:v>
      </x:c>
      <x:c r="G21" s="20" t="str">
        <x:v>south-end</x:v>
      </x:c>
      <x:c r="H21" s="20" t="str">
        <x:f>Instructions!$F$41</x:f>
        <x:v>team-3</x:v>
      </x:c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f>Instructions!$A$41</x:f>
        <x:v>Green</x:v>
      </x:c>
      <x:c r="G22" s="20" t="str">
        <x:v>west-end</x:v>
      </x:c>
      <x:c r="H22" s="20" t="str">
        <x:f>Instructions!$F$41</x:f>
        <x:v>team-3</x:v>
      </x:c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f>Instructions!$A$41</x:f>
        <x:v>Green</x:v>
      </x:c>
      <x:c r="G23" s="20" t="str">
        <x:v>west-roxbury</x:v>
      </x:c>
      <x:c r="H23" s="20" t="str">
        <x:f>Instructions!$F$41</x:f>
        <x:v>team-3</x:v>
      </x:c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f>Instructions!$A$41</x:f>
        <x:v>Green</x:v>
      </x:c>
      <x:c r="G24" s="20" t="str">
        <x:v>seaport</x:v>
      </x:c>
      <x:c r="H24" s="20" t="str">
        <x:f>Instructions!$F$41</x:f>
        <x:v>team-3</x:v>
      </x:c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f>Instructions!$A$41</x:f>
        <x:v>Green</x:v>
      </x:c>
      <x:c r="G25" s="20" t="str">
        <x:v>cambridge</x:v>
      </x:c>
      <x:c r="H25" s="20" t="str">
        <x:f>Instructions!$F$41</x:f>
        <x:v>team-3</x:v>
      </x:c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f>Instructions!$A$41</x:f>
        <x:v>Green</x:v>
      </x:c>
      <x:c r="G26" s="20" t="str">
        <x:v>somerville</x:v>
      </x:c>
      <x:c r="H26" s="20" t="str">
        <x:f>Instructions!$F$41</x:f>
        <x:v>team-3</x:v>
      </x:c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f>Instructions!$A$41</x:f>
        <x:v>Green</x:v>
      </x:c>
      <x:c r="G27" s="20" t="str">
        <x:v>everett</x:v>
      </x:c>
      <x:c r="H27" s="20" t="str">
        <x:f>Instructions!$F$41</x:f>
        <x:v>team-3</x:v>
      </x:c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f>Instructions!$A$41</x:f>
        <x:v>Green</x:v>
      </x:c>
      <x:c r="G28" s="20" t="str">
        <x:v>chelsea</x:v>
      </x:c>
      <x:c r="H28" s="20" t="str">
        <x:f>Instructions!$F$41</x:f>
        <x:v>team-3</x:v>
      </x:c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f>Instructions!$A$41</x:f>
        <x:v>Green</x:v>
      </x:c>
      <x:c r="G29" s="20" t="str">
        <x:v>revere</x:v>
      </x:c>
      <x:c r="H29" s="20" t="str">
        <x:f>Instructions!$F$41</x:f>
        <x:v>team-3</x:v>
      </x:c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f>Instructions!$A$41</x:f>
        <x:v>Green</x:v>
      </x:c>
      <x:c r="G30" s="20" t="str">
        <x:v>malden</x:v>
      </x:c>
      <x:c r="H30" s="20" t="str">
        <x:f>Instructions!$F$41</x:f>
        <x:v>team-3</x:v>
      </x:c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f>Instructions!$A$41</x:f>
        <x:v>Green</x:v>
      </x:c>
      <x:c r="G31" s="20" t="str">
        <x:v>medford</x:v>
      </x:c>
      <x:c r="H31" s="20" t="str">
        <x:f>Instructions!$F$41</x:f>
        <x:v>team-3</x:v>
      </x:c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f>Instructions!$A$41</x:f>
        <x:v>Green</x:v>
      </x:c>
      <x:c r="G32" s="20" t="str">
        <x:v>brookline</x:v>
      </x:c>
      <x:c r="H32" s="20" t="str">
        <x:f>Instructions!$F$41</x:f>
        <x:v>team-3</x:v>
      </x:c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f>Instructions!$A$41</x:f>
        <x:v>Green</x:v>
      </x:c>
      <x:c r="G33" s="20" t="str">
        <x:v>newton</x:v>
      </x:c>
      <x:c r="H33" s="20" t="str">
        <x:f>Instructions!$F$41</x:f>
        <x:v>team-3</x:v>
      </x:c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f>Instructions!$A$41</x:f>
        <x:v>Green</x:v>
      </x:c>
      <x:c r="G34" s="20" t="str">
        <x:v>quincy</x:v>
      </x:c>
      <x:c r="H34" s="20" t="str">
        <x:f>Instructions!$F$41</x:f>
        <x:v>team-3</x:v>
      </x:c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f>Instructions!$A$41</x:f>
        <x:v>Green</x:v>
      </x:c>
      <x:c r="G35" s="20" t="str">
        <x:v>braintree</x:v>
      </x:c>
      <x:c r="H35" s="20" t="str">
        <x:f>Instructions!$F$41</x:f>
        <x:v>team-3</x:v>
      </x:c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f>Instructions!$A$41</x:f>
        <x:v>Green</x:v>
      </x:c>
      <x:c r="G36" s="20" t="str">
        <x:v>winthrop</x:v>
      </x:c>
      <x:c r="H36" s="20" t="str">
        <x:f>Instructions!$F$41</x:f>
        <x:v>team-3</x:v>
      </x:c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f>Instructions!$A$41</x:f>
        <x:v>Green</x:v>
      </x:c>
      <x:c r="G37" s="20" t="str">
        <x:v>milton</x:v>
      </x:c>
      <x:c r="H37" s="20" t="str">
        <x:f>Instructions!$F$41</x:f>
        <x:v>team-3</x:v>
      </x:c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f>Instructions!$A$41</x:f>
        <x:v>Green</x:v>
      </x:c>
      <x:c r="G38" s="20" t="str">
        <x:v>longwood</x:v>
      </x:c>
      <x:c r="H38" s="20" t="str">
        <x:f>Instructions!$F$41</x:f>
        <x:v>team-3</x:v>
      </x:c>
      <x:c r="I38" s="8"/>
      <x:c r="J38" s="8"/>
    </x:row>
  </x:sheetData>
  <x:conditionalFormatting sqref="D2:D38">
    <x:cfRule type="expression" dxfId="18" priority="1">
      <x:formula>LEN(D2)&gt;0</x:formula>
    </x:cfRule>
  </x:conditionalFormatting>
  <x:conditionalFormatting sqref="B2:B38">
    <x:cfRule type="cellIs" dxfId="19" priority="2" operator="equal">
      <x:formula>"Active"</x:formula>
    </x:cfRule>
    <x:cfRule type="cellIs" dxfId="20" priority="3" operator="equal">
      <x:formula>"Failed"</x:formula>
    </x:cfRule>
    <x:cfRule type="cellIs" dxfId="21" priority="4" operator="equal">
      <x:formula>"Succeeded"</x:formula>
    </x:cfRule>
  </x:conditionalFormatting>
  <x:conditionalFormatting sqref="E2:E38">
    <x:cfRule type="containsText" dxfId="22" priority="5" operator="containsText" text="No retry"/>
  </x:conditionalFormatting>
  <x:conditionalFormatting sqref="I2:I2">
    <x:cfRule type="containsText" dxfId="23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55C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hidden="1" customWidth="1"/>
    <x:col min="7" max="7" width="26.25" hidden="1" customWidth="1"/>
    <x:col min="8" max="8" width="18" hidden="1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 t="str">
        <x:v>Team ID</x:v>
      </x:c>
      <x:c r="I1" s="13" t="str">
        <x:f>Instructions!$A$40&amp;" TEAM / CURRENT CHALLENGE"</x:f>
        <x:v>Yellow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f>Instructions!$A$40</x:f>
        <x:v>Yellow</x:v>
      </x:c>
      <x:c r="G2" s="20" t="str">
        <x:v>allston</x:v>
      </x:c>
      <x:c r="H2" s="20" t="str">
        <x:f>Instructions!$F$40</x:f>
        <x:v>team-4</x:v>
      </x:c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f>Instructions!$A$40</x:f>
        <x:v>Yellow</x:v>
      </x:c>
      <x:c r="G3" s="20" t="str">
        <x:v>back-bay</x:v>
      </x:c>
      <x:c r="H3" s="20" t="str">
        <x:f>Instructions!$F$40</x:f>
        <x:v>team-4</x:v>
      </x:c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f>Instructions!$A$40</x:f>
        <x:v>Yellow</x:v>
      </x:c>
      <x:c r="G4" s="20" t="str">
        <x:v>bay-village</x:v>
      </x:c>
      <x:c r="H4" s="20" t="str">
        <x:f>Instructions!$F$40</x:f>
        <x:v>team-4</x:v>
      </x:c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f>Instructions!$A$40</x:f>
        <x:v>Yellow</x:v>
      </x:c>
      <x:c r="G5" s="20" t="str">
        <x:v>beacon-hill</x:v>
      </x:c>
      <x:c r="H5" s="20" t="str">
        <x:f>Instructions!$F$40</x:f>
        <x:v>team-4</x:v>
      </x:c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f>Instructions!$A$40</x:f>
        <x:v>Yellow</x:v>
      </x:c>
      <x:c r="G6" s="20" t="str">
        <x:v>brighton</x:v>
      </x:c>
      <x:c r="H6" s="20" t="str">
        <x:f>Instructions!$F$40</x:f>
        <x:v>team-4</x:v>
      </x:c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f>Instructions!$A$40</x:f>
        <x:v>Yellow</x:v>
      </x:c>
      <x:c r="G7" s="20" t="str">
        <x:v>charlestown</x:v>
      </x:c>
      <x:c r="H7" s="20" t="str">
        <x:f>Instructions!$F$40</x:f>
        <x:v>team-4</x:v>
      </x:c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f>Instructions!$A$40</x:f>
        <x:v>Yellow</x:v>
      </x:c>
      <x:c r="G8" s="20" t="str">
        <x:v>chinatown-leather-district</x:v>
      </x:c>
      <x:c r="H8" s="20" t="str">
        <x:f>Instructions!$F$40</x:f>
        <x:v>team-4</x:v>
      </x:c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f>Instructions!$A$40</x:f>
        <x:v>Yellow</x:v>
      </x:c>
      <x:c r="G9" s="20" t="str">
        <x:v>dorchester</x:v>
      </x:c>
      <x:c r="H9" s="20" t="str">
        <x:f>Instructions!$F$40</x:f>
        <x:v>team-4</x:v>
      </x:c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f>Instructions!$A$40</x:f>
        <x:v>Yellow</x:v>
      </x:c>
      <x:c r="G10" s="20" t="str">
        <x:v>downtown</x:v>
      </x:c>
      <x:c r="H10" s="20" t="str">
        <x:f>Instructions!$F$40</x:f>
        <x:v>team-4</x:v>
      </x:c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f>Instructions!$A$40</x:f>
        <x:v>Yellow</x:v>
      </x:c>
      <x:c r="G11" s="20" t="str">
        <x:v>east-boston</x:v>
      </x:c>
      <x:c r="H11" s="20" t="str">
        <x:f>Instructions!$F$40</x:f>
        <x:v>team-4</x:v>
      </x:c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f>Instructions!$A$40</x:f>
        <x:v>Yellow</x:v>
      </x:c>
      <x:c r="G12" s="20" t="str">
        <x:v>fenway-kenmore</x:v>
      </x:c>
      <x:c r="H12" s="20" t="str">
        <x:f>Instructions!$F$40</x:f>
        <x:v>team-4</x:v>
      </x:c>
      <x:c r="I12" s="8" t="str">
        <x:f>IF(Instructions!$C$40="Yes","Active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f>Instructions!$A$40</x:f>
        <x:v>Yellow</x:v>
      </x:c>
      <x:c r="G13" s="20" t="str">
        <x:v>hyde-park</x:v>
      </x:c>
      <x:c r="H13" s="20" t="str">
        <x:f>Instructions!$F$40</x:f>
        <x:v>team-4</x:v>
      </x:c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f>Instructions!$A$40</x:f>
        <x:v>Yellow</x:v>
      </x:c>
      <x:c r="G14" s="20" t="str">
        <x:v>jamaica-plain</x:v>
      </x:c>
      <x:c r="H14" s="20" t="str">
        <x:f>Instructions!$F$40</x:f>
        <x:v>team-4</x:v>
      </x:c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f>Instructions!$A$40</x:f>
        <x:v>Yellow</x:v>
      </x:c>
      <x:c r="G15" s="20" t="str">
        <x:v>mattapan</x:v>
      </x:c>
      <x:c r="H15" s="20" t="str">
        <x:f>Instructions!$F$40</x:f>
        <x:v>team-4</x:v>
      </x:c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f>Instructions!$A$40</x:f>
        <x:v>Yellow</x:v>
      </x:c>
      <x:c r="G16" s="20" t="str">
        <x:v>mission-hill</x:v>
      </x:c>
      <x:c r="H16" s="20" t="str">
        <x:f>Instructions!$F$40</x:f>
        <x:v>team-4</x:v>
      </x:c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f>Instructions!$A$40</x:f>
        <x:v>Yellow</x:v>
      </x:c>
      <x:c r="G17" s="20" t="str">
        <x:v>north-end</x:v>
      </x:c>
      <x:c r="H17" s="20" t="str">
        <x:f>Instructions!$F$40</x:f>
        <x:v>team-4</x:v>
      </x:c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f>Instructions!$A$40</x:f>
        <x:v>Yellow</x:v>
      </x:c>
      <x:c r="G18" s="20" t="str">
        <x:v>roslindale</x:v>
      </x:c>
      <x:c r="H18" s="20" t="str">
        <x:f>Instructions!$F$40</x:f>
        <x:v>team-4</x:v>
      </x:c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f>Instructions!$A$40</x:f>
        <x:v>Yellow</x:v>
      </x:c>
      <x:c r="G19" s="20" t="str">
        <x:v>roxbury</x:v>
      </x:c>
      <x:c r="H19" s="20" t="str">
        <x:f>Instructions!$F$40</x:f>
        <x:v>team-4</x:v>
      </x:c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f>Instructions!$A$40</x:f>
        <x:v>Yellow</x:v>
      </x:c>
      <x:c r="G20" s="20" t="str">
        <x:v>south-boston</x:v>
      </x:c>
      <x:c r="H20" s="20" t="str">
        <x:f>Instructions!$F$40</x:f>
        <x:v>team-4</x:v>
      </x:c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f>Instructions!$A$40</x:f>
        <x:v>Yellow</x:v>
      </x:c>
      <x:c r="G21" s="20" t="str">
        <x:v>south-end</x:v>
      </x:c>
      <x:c r="H21" s="20" t="str">
        <x:f>Instructions!$F$40</x:f>
        <x:v>team-4</x:v>
      </x:c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f>Instructions!$A$40</x:f>
        <x:v>Yellow</x:v>
      </x:c>
      <x:c r="G22" s="20" t="str">
        <x:v>west-end</x:v>
      </x:c>
      <x:c r="H22" s="20" t="str">
        <x:f>Instructions!$F$40</x:f>
        <x:v>team-4</x:v>
      </x:c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f>Instructions!$A$40</x:f>
        <x:v>Yellow</x:v>
      </x:c>
      <x:c r="G23" s="20" t="str">
        <x:v>west-roxbury</x:v>
      </x:c>
      <x:c r="H23" s="20" t="str">
        <x:f>Instructions!$F$40</x:f>
        <x:v>team-4</x:v>
      </x:c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f>Instructions!$A$40</x:f>
        <x:v>Yellow</x:v>
      </x:c>
      <x:c r="G24" s="20" t="str">
        <x:v>seaport</x:v>
      </x:c>
      <x:c r="H24" s="20" t="str">
        <x:f>Instructions!$F$40</x:f>
        <x:v>team-4</x:v>
      </x:c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f>Instructions!$A$40</x:f>
        <x:v>Yellow</x:v>
      </x:c>
      <x:c r="G25" s="20" t="str">
        <x:v>cambridge</x:v>
      </x:c>
      <x:c r="H25" s="20" t="str">
        <x:f>Instructions!$F$40</x:f>
        <x:v>team-4</x:v>
      </x:c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f>Instructions!$A$40</x:f>
        <x:v>Yellow</x:v>
      </x:c>
      <x:c r="G26" s="20" t="str">
        <x:v>somerville</x:v>
      </x:c>
      <x:c r="H26" s="20" t="str">
        <x:f>Instructions!$F$40</x:f>
        <x:v>team-4</x:v>
      </x:c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f>Instructions!$A$40</x:f>
        <x:v>Yellow</x:v>
      </x:c>
      <x:c r="G27" s="20" t="str">
        <x:v>everett</x:v>
      </x:c>
      <x:c r="H27" s="20" t="str">
        <x:f>Instructions!$F$40</x:f>
        <x:v>team-4</x:v>
      </x:c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f>Instructions!$A$40</x:f>
        <x:v>Yellow</x:v>
      </x:c>
      <x:c r="G28" s="20" t="str">
        <x:v>chelsea</x:v>
      </x:c>
      <x:c r="H28" s="20" t="str">
        <x:f>Instructions!$F$40</x:f>
        <x:v>team-4</x:v>
      </x:c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f>Instructions!$A$40</x:f>
        <x:v>Yellow</x:v>
      </x:c>
      <x:c r="G29" s="20" t="str">
        <x:v>revere</x:v>
      </x:c>
      <x:c r="H29" s="20" t="str">
        <x:f>Instructions!$F$40</x:f>
        <x:v>team-4</x:v>
      </x:c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f>Instructions!$A$40</x:f>
        <x:v>Yellow</x:v>
      </x:c>
      <x:c r="G30" s="20" t="str">
        <x:v>malden</x:v>
      </x:c>
      <x:c r="H30" s="20" t="str">
        <x:f>Instructions!$F$40</x:f>
        <x:v>team-4</x:v>
      </x:c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f>Instructions!$A$40</x:f>
        <x:v>Yellow</x:v>
      </x:c>
      <x:c r="G31" s="20" t="str">
        <x:v>medford</x:v>
      </x:c>
      <x:c r="H31" s="20" t="str">
        <x:f>Instructions!$F$40</x:f>
        <x:v>team-4</x:v>
      </x:c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f>Instructions!$A$40</x:f>
        <x:v>Yellow</x:v>
      </x:c>
      <x:c r="G32" s="20" t="str">
        <x:v>brookline</x:v>
      </x:c>
      <x:c r="H32" s="20" t="str">
        <x:f>Instructions!$F$40</x:f>
        <x:v>team-4</x:v>
      </x:c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f>Instructions!$A$40</x:f>
        <x:v>Yellow</x:v>
      </x:c>
      <x:c r="G33" s="20" t="str">
        <x:v>newton</x:v>
      </x:c>
      <x:c r="H33" s="20" t="str">
        <x:f>Instructions!$F$40</x:f>
        <x:v>team-4</x:v>
      </x:c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f>Instructions!$A$40</x:f>
        <x:v>Yellow</x:v>
      </x:c>
      <x:c r="G34" s="20" t="str">
        <x:v>quincy</x:v>
      </x:c>
      <x:c r="H34" s="20" t="str">
        <x:f>Instructions!$F$40</x:f>
        <x:v>team-4</x:v>
      </x:c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f>Instructions!$A$40</x:f>
        <x:v>Yellow</x:v>
      </x:c>
      <x:c r="G35" s="20" t="str">
        <x:v>braintree</x:v>
      </x:c>
      <x:c r="H35" s="20" t="str">
        <x:f>Instructions!$F$40</x:f>
        <x:v>team-4</x:v>
      </x:c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f>Instructions!$A$40</x:f>
        <x:v>Yellow</x:v>
      </x:c>
      <x:c r="G36" s="20" t="str">
        <x:v>winthrop</x:v>
      </x:c>
      <x:c r="H36" s="20" t="str">
        <x:f>Instructions!$F$40</x:f>
        <x:v>team-4</x:v>
      </x:c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f>Instructions!$A$40</x:f>
        <x:v>Yellow</x:v>
      </x:c>
      <x:c r="G37" s="20" t="str">
        <x:v>milton</x:v>
      </x:c>
      <x:c r="H37" s="20" t="str">
        <x:f>Instructions!$F$40</x:f>
        <x:v>team-4</x:v>
      </x:c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f>Instructions!$A$40</x:f>
        <x:v>Yellow</x:v>
      </x:c>
      <x:c r="G38" s="20" t="str">
        <x:v>longwood</x:v>
      </x:c>
      <x:c r="H38" s="20" t="str">
        <x:f>Instructions!$F$40</x:f>
        <x:v>team-4</x:v>
      </x:c>
      <x:c r="I38" s="8"/>
      <x:c r="J38" s="8"/>
    </x:row>
  </x:sheetData>
  <x:conditionalFormatting sqref="D2:D38">
    <x:cfRule type="expression" dxfId="24" priority="1">
      <x:formula>LEN(D2)&gt;0</x:formula>
    </x:cfRule>
  </x:conditionalFormatting>
  <x:conditionalFormatting sqref="B2:B38">
    <x:cfRule type="cellIs" dxfId="25" priority="2" operator="equal">
      <x:formula>"Active"</x:formula>
    </x:cfRule>
    <x:cfRule type="cellIs" dxfId="26" priority="3" operator="equal">
      <x:formula>"Failed"</x:formula>
    </x:cfRule>
    <x:cfRule type="cellIs" dxfId="27" priority="4" operator="equal">
      <x:formula>"Succeeded"</x:formula>
    </x:cfRule>
  </x:conditionalFormatting>
  <x:conditionalFormatting sqref="E2:E38">
    <x:cfRule type="containsText" dxfId="28" priority="5" operator="containsText" text="No retry"/>
  </x:conditionalFormatting>
  <x:conditionalFormatting sqref="I2:I2">
    <x:cfRule type="containsText" dxfId="29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30.6299991607666" hidden="0" customWidth="1"/>
    <x:col min="3" max="3" width="16.8799991607666" hidden="0" customWidth="1"/>
    <x:col min="4" max="4" width="15.630000114440918" hidden="0" customWidth="1"/>
    <x:col min="5" max="5" width="28.1299991607666" hidden="1" customWidth="1"/>
    <x:col min="6" max="6" width="18" hidden="1" customWidth="1"/>
  </x:cols>
  <x:sheetData>
    <x:row r="1" ht="30" customHeight="1">
      <x:c r="A1" s="12" t="str">
        <x:v>Team</x:v>
      </x:c>
      <x:c r="B1" s="12" t="str">
        <x:v>Territory</x:v>
      </x:c>
      <x:c r="C1" s="12" t="str">
        <x:v>Status</x:v>
      </x:c>
      <x:c r="D1" s="12" t="str">
        <x:v>Reveal Order</x:v>
      </x:c>
      <x:c r="E1" s="19" t="str">
        <x:v>Territory ID</x:v>
      </x:c>
      <x:c r="F1" t="str">
        <x:v>Team ID</x:v>
      </x:c>
    </x:row>
    <x:row r="2" ht="24" customHeight="1">
      <x:c r="A2" s="8" t="str">
        <x:f>IF(Instructions!$C$38="Yes",IF('Blue'!F2="","",'Blue'!F2),"")</x:f>
        <x:v>Blue</x:v>
      </x:c>
      <x:c r="B2" s="8" t="str">
        <x:f>IF(Instructions!$C$38="Yes",IF('Blue'!A2="","",'Blue'!A2),"")</x:f>
        <x:v>Allston</x:v>
      </x:c>
      <x:c r="C2" s="8" t="str">
        <x:f>IF(Instructions!$C$38="Yes",IF('Blue'!B2="","",'Blue'!B2),"")</x:f>
        <x:v>Not opened</x:v>
      </x:c>
      <x:c r="D2" s="18" t="str">
        <x:f>IF(Instructions!$C$38="Yes",IF('Blue'!C2="","",'Blue'!C2),"")</x:f>
      </x:c>
      <x:c r="E2" s="20" t="str">
        <x:f>IF(Instructions!$C$38="Yes",IF('Blue'!G2="","",'Blue'!G2),"")</x:f>
        <x:v>allston</x:v>
      </x:c>
      <x:c r="F2" t="str">
        <x:f>IF(Instructions!$C$38="Yes",'Blue'!H2,"")</x:f>
        <x:v>team-1</x:v>
      </x:c>
    </x:row>
    <x:row r="3" ht="24" customHeight="1">
      <x:c r="A3" s="8" t="str">
        <x:f>IF(Instructions!$C$38="Yes",IF('Blue'!F3="","",'Blue'!F3),"")</x:f>
        <x:v>Blue</x:v>
      </x:c>
      <x:c r="B3" s="8" t="str">
        <x:f>IF(Instructions!$C$38="Yes",IF('Blue'!A3="","",'Blue'!A3),"")</x:f>
        <x:v>Back Bay</x:v>
      </x:c>
      <x:c r="C3" s="8" t="str">
        <x:f>IF(Instructions!$C$38="Yes",IF('Blue'!B3="","",'Blue'!B3),"")</x:f>
        <x:v>Not opened</x:v>
      </x:c>
      <x:c r="D3" s="18" t="str">
        <x:f>IF(Instructions!$C$38="Yes",IF('Blue'!C3="","",'Blue'!C3),"")</x:f>
      </x:c>
      <x:c r="E3" s="20" t="str">
        <x:f>IF(Instructions!$C$38="Yes",IF('Blue'!G3="","",'Blue'!G3),"")</x:f>
        <x:v>back-bay</x:v>
      </x:c>
      <x:c r="F3" t="str">
        <x:f>IF(Instructions!$C$38="Yes",'Blue'!H3,"")</x:f>
        <x:v>team-1</x:v>
      </x:c>
    </x:row>
    <x:row r="4" ht="24" customHeight="1">
      <x:c r="A4" s="8" t="str">
        <x:f>IF(Instructions!$C$38="Yes",IF('Blue'!F4="","",'Blue'!F4),"")</x:f>
        <x:v>Blue</x:v>
      </x:c>
      <x:c r="B4" s="8" t="str">
        <x:f>IF(Instructions!$C$38="Yes",IF('Blue'!A4="","",'Blue'!A4),"")</x:f>
        <x:v>Bay Village</x:v>
      </x:c>
      <x:c r="C4" s="8" t="str">
        <x:f>IF(Instructions!$C$38="Yes",IF('Blue'!B4="","",'Blue'!B4),"")</x:f>
        <x:v>Not opened</x:v>
      </x:c>
      <x:c r="D4" s="18" t="str">
        <x:f>IF(Instructions!$C$38="Yes",IF('Blue'!C4="","",'Blue'!C4),"")</x:f>
      </x:c>
      <x:c r="E4" s="20" t="str">
        <x:f>IF(Instructions!$C$38="Yes",IF('Blue'!G4="","",'Blue'!G4),"")</x:f>
        <x:v>bay-village</x:v>
      </x:c>
      <x:c r="F4" t="str">
        <x:f>IF(Instructions!$C$38="Yes",'Blue'!H4,"")</x:f>
        <x:v>team-1</x:v>
      </x:c>
    </x:row>
    <x:row r="5" ht="24" customHeight="1">
      <x:c r="A5" s="8" t="str">
        <x:f>IF(Instructions!$C$38="Yes",IF('Blue'!F5="","",'Blue'!F5),"")</x:f>
        <x:v>Blue</x:v>
      </x:c>
      <x:c r="B5" s="8" t="str">
        <x:f>IF(Instructions!$C$38="Yes",IF('Blue'!A5="","",'Blue'!A5),"")</x:f>
        <x:v>Beacon Hill</x:v>
      </x:c>
      <x:c r="C5" s="8" t="str">
        <x:f>IF(Instructions!$C$38="Yes",IF('Blue'!B5="","",'Blue'!B5),"")</x:f>
        <x:v>Not opened</x:v>
      </x:c>
      <x:c r="D5" s="18" t="str">
        <x:f>IF(Instructions!$C$38="Yes",IF('Blue'!C5="","",'Blue'!C5),"")</x:f>
      </x:c>
      <x:c r="E5" s="20" t="str">
        <x:f>IF(Instructions!$C$38="Yes",IF('Blue'!G5="","",'Blue'!G5),"")</x:f>
        <x:v>beacon-hill</x:v>
      </x:c>
      <x:c r="F5" t="str">
        <x:f>IF(Instructions!$C$38="Yes",'Blue'!H5,"")</x:f>
        <x:v>team-1</x:v>
      </x:c>
    </x:row>
    <x:row r="6" ht="24" customHeight="1">
      <x:c r="A6" s="8" t="str">
        <x:f>IF(Instructions!$C$38="Yes",IF('Blue'!F6="","",'Blue'!F6),"")</x:f>
        <x:v>Blue</x:v>
      </x:c>
      <x:c r="B6" s="8" t="str">
        <x:f>IF(Instructions!$C$38="Yes",IF('Blue'!A6="","",'Blue'!A6),"")</x:f>
        <x:v>Brighton</x:v>
      </x:c>
      <x:c r="C6" s="8" t="str">
        <x:f>IF(Instructions!$C$38="Yes",IF('Blue'!B6="","",'Blue'!B6),"")</x:f>
        <x:v>Not opened</x:v>
      </x:c>
      <x:c r="D6" s="18" t="str">
        <x:f>IF(Instructions!$C$38="Yes",IF('Blue'!C6="","",'Blue'!C6),"")</x:f>
      </x:c>
      <x:c r="E6" s="20" t="str">
        <x:f>IF(Instructions!$C$38="Yes",IF('Blue'!G6="","",'Blue'!G6),"")</x:f>
        <x:v>brighton</x:v>
      </x:c>
      <x:c r="F6" t="str">
        <x:f>IF(Instructions!$C$38="Yes",'Blue'!H6,"")</x:f>
        <x:v>team-1</x:v>
      </x:c>
    </x:row>
    <x:row r="7" ht="24" customHeight="1">
      <x:c r="A7" s="8" t="str">
        <x:f>IF(Instructions!$C$38="Yes",IF('Blue'!F7="","",'Blue'!F7),"")</x:f>
        <x:v>Blue</x:v>
      </x:c>
      <x:c r="B7" s="8" t="str">
        <x:f>IF(Instructions!$C$38="Yes",IF('Blue'!A7="","",'Blue'!A7),"")</x:f>
        <x:v>Charlestown</x:v>
      </x:c>
      <x:c r="C7" s="8" t="str">
        <x:f>IF(Instructions!$C$38="Yes",IF('Blue'!B7="","",'Blue'!B7),"")</x:f>
        <x:v>Not opened</x:v>
      </x:c>
      <x:c r="D7" s="18" t="str">
        <x:f>IF(Instructions!$C$38="Yes",IF('Blue'!C7="","",'Blue'!C7),"")</x:f>
      </x:c>
      <x:c r="E7" s="20" t="str">
        <x:f>IF(Instructions!$C$38="Yes",IF('Blue'!G7="","",'Blue'!G7),"")</x:f>
        <x:v>charlestown</x:v>
      </x:c>
      <x:c r="F7" t="str">
        <x:f>IF(Instructions!$C$38="Yes",'Blue'!H7,"")</x:f>
        <x:v>team-1</x:v>
      </x:c>
    </x:row>
    <x:row r="8" ht="24" customHeight="1">
      <x:c r="A8" s="8" t="str">
        <x:f>IF(Instructions!$C$38="Yes",IF('Blue'!F8="","",'Blue'!F8),"")</x:f>
        <x:v>Blue</x:v>
      </x:c>
      <x:c r="B8" s="8" t="str">
        <x:f>IF(Instructions!$C$38="Yes",IF('Blue'!A8="","",'Blue'!A8),"")</x:f>
        <x:v>Chinatown</x:v>
      </x:c>
      <x:c r="C8" s="8" t="str">
        <x:f>IF(Instructions!$C$38="Yes",IF('Blue'!B8="","",'Blue'!B8),"")</x:f>
        <x:v>Not opened</x:v>
      </x:c>
      <x:c r="D8" s="18" t="str">
        <x:f>IF(Instructions!$C$38="Yes",IF('Blue'!C8="","",'Blue'!C8),"")</x:f>
      </x:c>
      <x:c r="E8" s="20" t="str">
        <x:f>IF(Instructions!$C$38="Yes",IF('Blue'!G8="","",'Blue'!G8),"")</x:f>
        <x:v>chinatown-leather-district</x:v>
      </x:c>
      <x:c r="F8" t="str">
        <x:f>IF(Instructions!$C$38="Yes",'Blue'!H8,"")</x:f>
        <x:v>team-1</x:v>
      </x:c>
    </x:row>
    <x:row r="9" ht="24" customHeight="1">
      <x:c r="A9" s="8" t="str">
        <x:f>IF(Instructions!$C$38="Yes",IF('Blue'!F9="","",'Blue'!F9),"")</x:f>
        <x:v>Blue</x:v>
      </x:c>
      <x:c r="B9" s="8" t="str">
        <x:f>IF(Instructions!$C$38="Yes",IF('Blue'!A9="","",'Blue'!A9),"")</x:f>
        <x:v>Dorchester</x:v>
      </x:c>
      <x:c r="C9" s="8" t="str">
        <x:f>IF(Instructions!$C$38="Yes",IF('Blue'!B9="","",'Blue'!B9),"")</x:f>
        <x:v>Not opened</x:v>
      </x:c>
      <x:c r="D9" s="18" t="str">
        <x:f>IF(Instructions!$C$38="Yes",IF('Blue'!C9="","",'Blue'!C9),"")</x:f>
      </x:c>
      <x:c r="E9" s="20" t="str">
        <x:f>IF(Instructions!$C$38="Yes",IF('Blue'!G9="","",'Blue'!G9),"")</x:f>
        <x:v>dorchester</x:v>
      </x:c>
      <x:c r="F9" t="str">
        <x:f>IF(Instructions!$C$38="Yes",'Blue'!H9,"")</x:f>
        <x:v>team-1</x:v>
      </x:c>
    </x:row>
    <x:row r="10" ht="24" customHeight="1">
      <x:c r="A10" s="8" t="str">
        <x:f>IF(Instructions!$C$38="Yes",IF('Blue'!F10="","",'Blue'!F10),"")</x:f>
        <x:v>Blue</x:v>
      </x:c>
      <x:c r="B10" s="8" t="str">
        <x:f>IF(Instructions!$C$38="Yes",IF('Blue'!A10="","",'Blue'!A10),"")</x:f>
        <x:v>Downtown</x:v>
      </x:c>
      <x:c r="C10" s="8" t="str">
        <x:f>IF(Instructions!$C$38="Yes",IF('Blue'!B10="","",'Blue'!B10),"")</x:f>
        <x:v>Not opened</x:v>
      </x:c>
      <x:c r="D10" s="18" t="str">
        <x:f>IF(Instructions!$C$38="Yes",IF('Blue'!C10="","",'Blue'!C10),"")</x:f>
      </x:c>
      <x:c r="E10" s="20" t="str">
        <x:f>IF(Instructions!$C$38="Yes",IF('Blue'!G10="","",'Blue'!G10),"")</x:f>
        <x:v>downtown</x:v>
      </x:c>
      <x:c r="F10" t="str">
        <x:f>IF(Instructions!$C$38="Yes",'Blue'!H10,"")</x:f>
        <x:v>team-1</x:v>
      </x:c>
    </x:row>
    <x:row r="11" ht="24" customHeight="1">
      <x:c r="A11" s="8" t="str">
        <x:f>IF(Instructions!$C$38="Yes",IF('Blue'!F11="","",'Blue'!F11),"")</x:f>
        <x:v>Blue</x:v>
      </x:c>
      <x:c r="B11" s="8" t="str">
        <x:f>IF(Instructions!$C$38="Yes",IF('Blue'!A11="","",'Blue'!A11),"")</x:f>
        <x:v>East Boston</x:v>
      </x:c>
      <x:c r="C11" s="8" t="str">
        <x:f>IF(Instructions!$C$38="Yes",IF('Blue'!B11="","",'Blue'!B11),"")</x:f>
        <x:v>Not opened</x:v>
      </x:c>
      <x:c r="D11" s="18" t="str">
        <x:f>IF(Instructions!$C$38="Yes",IF('Blue'!C11="","",'Blue'!C11),"")</x:f>
      </x:c>
      <x:c r="E11" s="20" t="str">
        <x:f>IF(Instructions!$C$38="Yes",IF('Blue'!G11="","",'Blue'!G11),"")</x:f>
        <x:v>east-boston</x:v>
      </x:c>
      <x:c r="F11" t="str">
        <x:f>IF(Instructions!$C$38="Yes",'Blue'!H11,"")</x:f>
        <x:v>team-1</x:v>
      </x:c>
    </x:row>
    <x:row r="12" ht="24" customHeight="1">
      <x:c r="A12" s="8" t="str">
        <x:f>IF(Instructions!$C$38="Yes",IF('Blue'!F12="","",'Blue'!F12),"")</x:f>
        <x:v>Blue</x:v>
      </x:c>
      <x:c r="B12" s="8" t="str">
        <x:f>IF(Instructions!$C$38="Yes",IF('Blue'!A12="","",'Blue'!A12),"")</x:f>
        <x:v>Fenway–Kenmore</x:v>
      </x:c>
      <x:c r="C12" s="8" t="str">
        <x:f>IF(Instructions!$C$38="Yes",IF('Blue'!B12="","",'Blue'!B12),"")</x:f>
        <x:v>Not opened</x:v>
      </x:c>
      <x:c r="D12" s="18" t="str">
        <x:f>IF(Instructions!$C$38="Yes",IF('Blue'!C12="","",'Blue'!C12),"")</x:f>
      </x:c>
      <x:c r="E12" s="20" t="str">
        <x:f>IF(Instructions!$C$38="Yes",IF('Blue'!G12="","",'Blue'!G12),"")</x:f>
        <x:v>fenway-kenmore</x:v>
      </x:c>
      <x:c r="F12" t="str">
        <x:f>IF(Instructions!$C$38="Yes",'Blue'!H12,"")</x:f>
        <x:v>team-1</x:v>
      </x:c>
    </x:row>
    <x:row r="13" ht="24" customHeight="1">
      <x:c r="A13" s="8" t="str">
        <x:f>IF(Instructions!$C$38="Yes",IF('Blue'!F13="","",'Blue'!F13),"")</x:f>
        <x:v>Blue</x:v>
      </x:c>
      <x:c r="B13" s="8" t="str">
        <x:f>IF(Instructions!$C$38="Yes",IF('Blue'!A13="","",'Blue'!A13),"")</x:f>
        <x:v>Hyde Park</x:v>
      </x:c>
      <x:c r="C13" s="8" t="str">
        <x:f>IF(Instructions!$C$38="Yes",IF('Blue'!B13="","",'Blue'!B13),"")</x:f>
        <x:v>Not opened</x:v>
      </x:c>
      <x:c r="D13" s="18" t="str">
        <x:f>IF(Instructions!$C$38="Yes",IF('Blue'!C13="","",'Blue'!C13),"")</x:f>
      </x:c>
      <x:c r="E13" s="20" t="str">
        <x:f>IF(Instructions!$C$38="Yes",IF('Blue'!G13="","",'Blue'!G13),"")</x:f>
        <x:v>hyde-park</x:v>
      </x:c>
      <x:c r="F13" t="str">
        <x:f>IF(Instructions!$C$38="Yes",'Blue'!H13,"")</x:f>
        <x:v>team-1</x:v>
      </x:c>
    </x:row>
    <x:row r="14" ht="24" customHeight="1">
      <x:c r="A14" s="8" t="str">
        <x:f>IF(Instructions!$C$38="Yes",IF('Blue'!F14="","",'Blue'!F14),"")</x:f>
        <x:v>Blue</x:v>
      </x:c>
      <x:c r="B14" s="8" t="str">
        <x:f>IF(Instructions!$C$38="Yes",IF('Blue'!A14="","",'Blue'!A14),"")</x:f>
        <x:v>Jamaica Plain</x:v>
      </x:c>
      <x:c r="C14" s="8" t="str">
        <x:f>IF(Instructions!$C$38="Yes",IF('Blue'!B14="","",'Blue'!B14),"")</x:f>
        <x:v>Not opened</x:v>
      </x:c>
      <x:c r="D14" s="18" t="str">
        <x:f>IF(Instructions!$C$38="Yes",IF('Blue'!C14="","",'Blue'!C14),"")</x:f>
      </x:c>
      <x:c r="E14" s="20" t="str">
        <x:f>IF(Instructions!$C$38="Yes",IF('Blue'!G14="","",'Blue'!G14),"")</x:f>
        <x:v>jamaica-plain</x:v>
      </x:c>
      <x:c r="F14" t="str">
        <x:f>IF(Instructions!$C$38="Yes",'Blue'!H14,"")</x:f>
        <x:v>team-1</x:v>
      </x:c>
    </x:row>
    <x:row r="15" ht="24" customHeight="1">
      <x:c r="A15" s="8" t="str">
        <x:f>IF(Instructions!$C$38="Yes",IF('Blue'!F15="","",'Blue'!F15),"")</x:f>
        <x:v>Blue</x:v>
      </x:c>
      <x:c r="B15" s="8" t="str">
        <x:f>IF(Instructions!$C$38="Yes",IF('Blue'!A15="","",'Blue'!A15),"")</x:f>
        <x:v>Mattapan</x:v>
      </x:c>
      <x:c r="C15" s="8" t="str">
        <x:f>IF(Instructions!$C$38="Yes",IF('Blue'!B15="","",'Blue'!B15),"")</x:f>
        <x:v>Not opened</x:v>
      </x:c>
      <x:c r="D15" s="18" t="str">
        <x:f>IF(Instructions!$C$38="Yes",IF('Blue'!C15="","",'Blue'!C15),"")</x:f>
      </x:c>
      <x:c r="E15" s="20" t="str">
        <x:f>IF(Instructions!$C$38="Yes",IF('Blue'!G15="","",'Blue'!G15),"")</x:f>
        <x:v>mattapan</x:v>
      </x:c>
      <x:c r="F15" t="str">
        <x:f>IF(Instructions!$C$38="Yes",'Blue'!H15,"")</x:f>
        <x:v>team-1</x:v>
      </x:c>
    </x:row>
    <x:row r="16" ht="24" customHeight="1">
      <x:c r="A16" s="8" t="str">
        <x:f>IF(Instructions!$C$38="Yes",IF('Blue'!F16="","",'Blue'!F16),"")</x:f>
        <x:v>Blue</x:v>
      </x:c>
      <x:c r="B16" s="8" t="str">
        <x:f>IF(Instructions!$C$38="Yes",IF('Blue'!A16="","",'Blue'!A16),"")</x:f>
        <x:v>Mission Hill</x:v>
      </x:c>
      <x:c r="C16" s="8" t="str">
        <x:f>IF(Instructions!$C$38="Yes",IF('Blue'!B16="","",'Blue'!B16),"")</x:f>
        <x:v>Not opened</x:v>
      </x:c>
      <x:c r="D16" s="18" t="str">
        <x:f>IF(Instructions!$C$38="Yes",IF('Blue'!C16="","",'Blue'!C16),"")</x:f>
      </x:c>
      <x:c r="E16" s="20" t="str">
        <x:f>IF(Instructions!$C$38="Yes",IF('Blue'!G16="","",'Blue'!G16),"")</x:f>
        <x:v>mission-hill</x:v>
      </x:c>
      <x:c r="F16" t="str">
        <x:f>IF(Instructions!$C$38="Yes",'Blue'!H16,"")</x:f>
        <x:v>team-1</x:v>
      </x:c>
    </x:row>
    <x:row r="17" ht="24" customHeight="1">
      <x:c r="A17" s="8" t="str">
        <x:f>IF(Instructions!$C$38="Yes",IF('Blue'!F17="","",'Blue'!F17),"")</x:f>
        <x:v>Blue</x:v>
      </x:c>
      <x:c r="B17" s="8" t="str">
        <x:f>IF(Instructions!$C$38="Yes",IF('Blue'!A17="","",'Blue'!A17),"")</x:f>
        <x:v>North End</x:v>
      </x:c>
      <x:c r="C17" s="8" t="str">
        <x:f>IF(Instructions!$C$38="Yes",IF('Blue'!B17="","",'Blue'!B17),"")</x:f>
        <x:v>Not opened</x:v>
      </x:c>
      <x:c r="D17" s="18" t="str">
        <x:f>IF(Instructions!$C$38="Yes",IF('Blue'!C17="","",'Blue'!C17),"")</x:f>
      </x:c>
      <x:c r="E17" s="20" t="str">
        <x:f>IF(Instructions!$C$38="Yes",IF('Blue'!G17="","",'Blue'!G17),"")</x:f>
        <x:v>north-end</x:v>
      </x:c>
      <x:c r="F17" t="str">
        <x:f>IF(Instructions!$C$38="Yes",'Blue'!H17,"")</x:f>
        <x:v>team-1</x:v>
      </x:c>
    </x:row>
    <x:row r="18" ht="24" customHeight="1">
      <x:c r="A18" s="8" t="str">
        <x:f>IF(Instructions!$C$38="Yes",IF('Blue'!F18="","",'Blue'!F18),"")</x:f>
        <x:v>Blue</x:v>
      </x:c>
      <x:c r="B18" s="8" t="str">
        <x:f>IF(Instructions!$C$38="Yes",IF('Blue'!A18="","",'Blue'!A18),"")</x:f>
        <x:v>Roslindale</x:v>
      </x:c>
      <x:c r="C18" s="8" t="str">
        <x:f>IF(Instructions!$C$38="Yes",IF('Blue'!B18="","",'Blue'!B18),"")</x:f>
        <x:v>Not opened</x:v>
      </x:c>
      <x:c r="D18" s="18" t="str">
        <x:f>IF(Instructions!$C$38="Yes",IF('Blue'!C18="","",'Blue'!C18),"")</x:f>
      </x:c>
      <x:c r="E18" s="20" t="str">
        <x:f>IF(Instructions!$C$38="Yes",IF('Blue'!G18="","",'Blue'!G18),"")</x:f>
        <x:v>roslindale</x:v>
      </x:c>
      <x:c r="F18" t="str">
        <x:f>IF(Instructions!$C$38="Yes",'Blue'!H18,"")</x:f>
        <x:v>team-1</x:v>
      </x:c>
    </x:row>
    <x:row r="19" ht="24" customHeight="1">
      <x:c r="A19" s="8" t="str">
        <x:f>IF(Instructions!$C$38="Yes",IF('Blue'!F19="","",'Blue'!F19),"")</x:f>
        <x:v>Blue</x:v>
      </x:c>
      <x:c r="B19" s="8" t="str">
        <x:f>IF(Instructions!$C$38="Yes",IF('Blue'!A19="","",'Blue'!A19),"")</x:f>
        <x:v>Roxbury</x:v>
      </x:c>
      <x:c r="C19" s="8" t="str">
        <x:f>IF(Instructions!$C$38="Yes",IF('Blue'!B19="","",'Blue'!B19),"")</x:f>
        <x:v>Not opened</x:v>
      </x:c>
      <x:c r="D19" s="18" t="str">
        <x:f>IF(Instructions!$C$38="Yes",IF('Blue'!C19="","",'Blue'!C19),"")</x:f>
      </x:c>
      <x:c r="E19" s="20" t="str">
        <x:f>IF(Instructions!$C$38="Yes",IF('Blue'!G19="","",'Blue'!G19),"")</x:f>
        <x:v>roxbury</x:v>
      </x:c>
      <x:c r="F19" t="str">
        <x:f>IF(Instructions!$C$38="Yes",'Blue'!H19,"")</x:f>
        <x:v>team-1</x:v>
      </x:c>
    </x:row>
    <x:row r="20" ht="24" customHeight="1">
      <x:c r="A20" s="8" t="str">
        <x:f>IF(Instructions!$C$38="Yes",IF('Blue'!F20="","",'Blue'!F20),"")</x:f>
        <x:v>Blue</x:v>
      </x:c>
      <x:c r="B20" s="8" t="str">
        <x:f>IF(Instructions!$C$38="Yes",IF('Blue'!A20="","",'Blue'!A20),"")</x:f>
        <x:v>South Boston</x:v>
      </x:c>
      <x:c r="C20" s="8" t="str">
        <x:f>IF(Instructions!$C$38="Yes",IF('Blue'!B20="","",'Blue'!B20),"")</x:f>
        <x:v>Not opened</x:v>
      </x:c>
      <x:c r="D20" s="18" t="str">
        <x:f>IF(Instructions!$C$38="Yes",IF('Blue'!C20="","",'Blue'!C20),"")</x:f>
      </x:c>
      <x:c r="E20" s="20" t="str">
        <x:f>IF(Instructions!$C$38="Yes",IF('Blue'!G20="","",'Blue'!G20),"")</x:f>
        <x:v>south-boston</x:v>
      </x:c>
      <x:c r="F20" t="str">
        <x:f>IF(Instructions!$C$38="Yes",'Blue'!H20,"")</x:f>
        <x:v>team-1</x:v>
      </x:c>
    </x:row>
    <x:row r="21" ht="24" customHeight="1">
      <x:c r="A21" s="8" t="str">
        <x:f>IF(Instructions!$C$38="Yes",IF('Blue'!F21="","",'Blue'!F21),"")</x:f>
        <x:v>Blue</x:v>
      </x:c>
      <x:c r="B21" s="8" t="str">
        <x:f>IF(Instructions!$C$38="Yes",IF('Blue'!A21="","",'Blue'!A21),"")</x:f>
        <x:v>South End</x:v>
      </x:c>
      <x:c r="C21" s="8" t="str">
        <x:f>IF(Instructions!$C$38="Yes",IF('Blue'!B21="","",'Blue'!B21),"")</x:f>
        <x:v>Not opened</x:v>
      </x:c>
      <x:c r="D21" s="18" t="str">
        <x:f>IF(Instructions!$C$38="Yes",IF('Blue'!C21="","",'Blue'!C21),"")</x:f>
      </x:c>
      <x:c r="E21" s="20" t="str">
        <x:f>IF(Instructions!$C$38="Yes",IF('Blue'!G21="","",'Blue'!G21),"")</x:f>
        <x:v>south-end</x:v>
      </x:c>
      <x:c r="F21" t="str">
        <x:f>IF(Instructions!$C$38="Yes",'Blue'!H21,"")</x:f>
        <x:v>team-1</x:v>
      </x:c>
    </x:row>
    <x:row r="22" ht="24" customHeight="1">
      <x:c r="A22" s="8" t="str">
        <x:f>IF(Instructions!$C$38="Yes",IF('Blue'!F22="","",'Blue'!F22),"")</x:f>
        <x:v>Blue</x:v>
      </x:c>
      <x:c r="B22" s="8" t="str">
        <x:f>IF(Instructions!$C$38="Yes",IF('Blue'!A22="","",'Blue'!A22),"")</x:f>
        <x:v>West End</x:v>
      </x:c>
      <x:c r="C22" s="8" t="str">
        <x:f>IF(Instructions!$C$38="Yes",IF('Blue'!B22="","",'Blue'!B22),"")</x:f>
        <x:v>Not opened</x:v>
      </x:c>
      <x:c r="D22" s="18" t="str">
        <x:f>IF(Instructions!$C$38="Yes",IF('Blue'!C22="","",'Blue'!C22),"")</x:f>
      </x:c>
      <x:c r="E22" s="20" t="str">
        <x:f>IF(Instructions!$C$38="Yes",IF('Blue'!G22="","",'Blue'!G22),"")</x:f>
        <x:v>west-end</x:v>
      </x:c>
      <x:c r="F22" t="str">
        <x:f>IF(Instructions!$C$38="Yes",'Blue'!H22,"")</x:f>
        <x:v>team-1</x:v>
      </x:c>
    </x:row>
    <x:row r="23" ht="24" customHeight="1">
      <x:c r="A23" s="8" t="str">
        <x:f>IF(Instructions!$C$38="Yes",IF('Blue'!F23="","",'Blue'!F23),"")</x:f>
        <x:v>Blue</x:v>
      </x:c>
      <x:c r="B23" s="8" t="str">
        <x:f>IF(Instructions!$C$38="Yes",IF('Blue'!A23="","",'Blue'!A23),"")</x:f>
        <x:v>West Roxbury</x:v>
      </x:c>
      <x:c r="C23" s="8" t="str">
        <x:f>IF(Instructions!$C$38="Yes",IF('Blue'!B23="","",'Blue'!B23),"")</x:f>
        <x:v>Not opened</x:v>
      </x:c>
      <x:c r="D23" s="18" t="str">
        <x:f>IF(Instructions!$C$38="Yes",IF('Blue'!C23="","",'Blue'!C23),"")</x:f>
      </x:c>
      <x:c r="E23" s="20" t="str">
        <x:f>IF(Instructions!$C$38="Yes",IF('Blue'!G23="","",'Blue'!G23),"")</x:f>
        <x:v>west-roxbury</x:v>
      </x:c>
      <x:c r="F23" t="str">
        <x:f>IF(Instructions!$C$38="Yes",'Blue'!H23,"")</x:f>
        <x:v>team-1</x:v>
      </x:c>
    </x:row>
    <x:row r="24" ht="24" customHeight="1">
      <x:c r="A24" s="8" t="str">
        <x:f>IF(Instructions!$C$38="Yes",IF('Blue'!F24="","",'Blue'!F24),"")</x:f>
        <x:v>Blue</x:v>
      </x:c>
      <x:c r="B24" s="8" t="str">
        <x:f>IF(Instructions!$C$38="Yes",IF('Blue'!A24="","",'Blue'!A24),"")</x:f>
        <x:v>Seaport</x:v>
      </x:c>
      <x:c r="C24" s="8" t="str">
        <x:f>IF(Instructions!$C$38="Yes",IF('Blue'!B24="","",'Blue'!B24),"")</x:f>
        <x:v>Not opened</x:v>
      </x:c>
      <x:c r="D24" s="18" t="str">
        <x:f>IF(Instructions!$C$38="Yes",IF('Blue'!C24="","",'Blue'!C24),"")</x:f>
      </x:c>
      <x:c r="E24" s="20" t="str">
        <x:f>IF(Instructions!$C$38="Yes",IF('Blue'!G24="","",'Blue'!G24),"")</x:f>
        <x:v>seaport</x:v>
      </x:c>
      <x:c r="F24" t="str">
        <x:f>IF(Instructions!$C$38="Yes",'Blue'!H24,"")</x:f>
        <x:v>team-1</x:v>
      </x:c>
    </x:row>
    <x:row r="25" ht="24" customHeight="1">
      <x:c r="A25" s="8" t="str">
        <x:f>IF(Instructions!$C$38="Yes",IF('Blue'!F25="","",'Blue'!F25),"")</x:f>
        <x:v>Blue</x:v>
      </x:c>
      <x:c r="B25" s="8" t="str">
        <x:f>IF(Instructions!$C$38="Yes",IF('Blue'!A25="","",'Blue'!A25),"")</x:f>
        <x:v>Cambridge</x:v>
      </x:c>
      <x:c r="C25" s="8" t="str">
        <x:f>IF(Instructions!$C$38="Yes",IF('Blue'!B25="","",'Blue'!B25),"")</x:f>
        <x:v>Not opened</x:v>
      </x:c>
      <x:c r="D25" s="18" t="str">
        <x:f>IF(Instructions!$C$38="Yes",IF('Blue'!C25="","",'Blue'!C25),"")</x:f>
      </x:c>
      <x:c r="E25" s="20" t="str">
        <x:f>IF(Instructions!$C$38="Yes",IF('Blue'!G25="","",'Blue'!G25),"")</x:f>
        <x:v>cambridge</x:v>
      </x:c>
      <x:c r="F25" t="str">
        <x:f>IF(Instructions!$C$38="Yes",'Blue'!H25,"")</x:f>
        <x:v>team-1</x:v>
      </x:c>
    </x:row>
    <x:row r="26" ht="24" customHeight="1">
      <x:c r="A26" s="8" t="str">
        <x:f>IF(Instructions!$C$38="Yes",IF('Blue'!F26="","",'Blue'!F26),"")</x:f>
        <x:v>Blue</x:v>
      </x:c>
      <x:c r="B26" s="8" t="str">
        <x:f>IF(Instructions!$C$38="Yes",IF('Blue'!A26="","",'Blue'!A26),"")</x:f>
        <x:v>Somerville</x:v>
      </x:c>
      <x:c r="C26" s="8" t="str">
        <x:f>IF(Instructions!$C$38="Yes",IF('Blue'!B26="","",'Blue'!B26),"")</x:f>
        <x:v>Not opened</x:v>
      </x:c>
      <x:c r="D26" s="18" t="str">
        <x:f>IF(Instructions!$C$38="Yes",IF('Blue'!C26="","",'Blue'!C26),"")</x:f>
      </x:c>
      <x:c r="E26" s="20" t="str">
        <x:f>IF(Instructions!$C$38="Yes",IF('Blue'!G26="","",'Blue'!G26),"")</x:f>
        <x:v>somerville</x:v>
      </x:c>
      <x:c r="F26" t="str">
        <x:f>IF(Instructions!$C$38="Yes",'Blue'!H26,"")</x:f>
        <x:v>team-1</x:v>
      </x:c>
    </x:row>
    <x:row r="27" ht="24" customHeight="1">
      <x:c r="A27" s="8" t="str">
        <x:f>IF(Instructions!$C$38="Yes",IF('Blue'!F27="","",'Blue'!F27),"")</x:f>
        <x:v>Blue</x:v>
      </x:c>
      <x:c r="B27" s="8" t="str">
        <x:f>IF(Instructions!$C$38="Yes",IF('Blue'!A27="","",'Blue'!A27),"")</x:f>
        <x:v>Everett</x:v>
      </x:c>
      <x:c r="C27" s="8" t="str">
        <x:f>IF(Instructions!$C$38="Yes",IF('Blue'!B27="","",'Blue'!B27),"")</x:f>
        <x:v>Not opened</x:v>
      </x:c>
      <x:c r="D27" s="18" t="str">
        <x:f>IF(Instructions!$C$38="Yes",IF('Blue'!C27="","",'Blue'!C27),"")</x:f>
      </x:c>
      <x:c r="E27" s="20" t="str">
        <x:f>IF(Instructions!$C$38="Yes",IF('Blue'!G27="","",'Blue'!G27),"")</x:f>
        <x:v>everett</x:v>
      </x:c>
      <x:c r="F27" t="str">
        <x:f>IF(Instructions!$C$38="Yes",'Blue'!H27,"")</x:f>
        <x:v>team-1</x:v>
      </x:c>
    </x:row>
    <x:row r="28" ht="24" customHeight="1">
      <x:c r="A28" s="8" t="str">
        <x:f>IF(Instructions!$C$38="Yes",IF('Blue'!F28="","",'Blue'!F28),"")</x:f>
        <x:v>Blue</x:v>
      </x:c>
      <x:c r="B28" s="8" t="str">
        <x:f>IF(Instructions!$C$38="Yes",IF('Blue'!A28="","",'Blue'!A28),"")</x:f>
        <x:v>Chelsea</x:v>
      </x:c>
      <x:c r="C28" s="8" t="str">
        <x:f>IF(Instructions!$C$38="Yes",IF('Blue'!B28="","",'Blue'!B28),"")</x:f>
        <x:v>Not opened</x:v>
      </x:c>
      <x:c r="D28" s="18" t="str">
        <x:f>IF(Instructions!$C$38="Yes",IF('Blue'!C28="","",'Blue'!C28),"")</x:f>
      </x:c>
      <x:c r="E28" s="20" t="str">
        <x:f>IF(Instructions!$C$38="Yes",IF('Blue'!G28="","",'Blue'!G28),"")</x:f>
        <x:v>chelsea</x:v>
      </x:c>
      <x:c r="F28" t="str">
        <x:f>IF(Instructions!$C$38="Yes",'Blue'!H28,"")</x:f>
        <x:v>team-1</x:v>
      </x:c>
    </x:row>
    <x:row r="29" ht="24" customHeight="1">
      <x:c r="A29" s="8" t="str">
        <x:f>IF(Instructions!$C$38="Yes",IF('Blue'!F29="","",'Blue'!F29),"")</x:f>
        <x:v>Blue</x:v>
      </x:c>
      <x:c r="B29" s="8" t="str">
        <x:f>IF(Instructions!$C$38="Yes",IF('Blue'!A29="","",'Blue'!A29),"")</x:f>
        <x:v>Revere</x:v>
      </x:c>
      <x:c r="C29" s="8" t="str">
        <x:f>IF(Instructions!$C$38="Yes",IF('Blue'!B29="","",'Blue'!B29),"")</x:f>
        <x:v>Not opened</x:v>
      </x:c>
      <x:c r="D29" s="18" t="str">
        <x:f>IF(Instructions!$C$38="Yes",IF('Blue'!C29="","",'Blue'!C29),"")</x:f>
      </x:c>
      <x:c r="E29" s="20" t="str">
        <x:f>IF(Instructions!$C$38="Yes",IF('Blue'!G29="","",'Blue'!G29),"")</x:f>
        <x:v>revere</x:v>
      </x:c>
      <x:c r="F29" t="str">
        <x:f>IF(Instructions!$C$38="Yes",'Blue'!H29,"")</x:f>
        <x:v>team-1</x:v>
      </x:c>
    </x:row>
    <x:row r="30" ht="24" customHeight="1">
      <x:c r="A30" s="8" t="str">
        <x:f>IF(Instructions!$C$38="Yes",IF('Blue'!F30="","",'Blue'!F30),"")</x:f>
        <x:v>Blue</x:v>
      </x:c>
      <x:c r="B30" s="8" t="str">
        <x:f>IF(Instructions!$C$38="Yes",IF('Blue'!A30="","",'Blue'!A30),"")</x:f>
        <x:v>Malden</x:v>
      </x:c>
      <x:c r="C30" s="8" t="str">
        <x:f>IF(Instructions!$C$38="Yes",IF('Blue'!B30="","",'Blue'!B30),"")</x:f>
        <x:v>Not opened</x:v>
      </x:c>
      <x:c r="D30" s="18" t="str">
        <x:f>IF(Instructions!$C$38="Yes",IF('Blue'!C30="","",'Blue'!C30),"")</x:f>
      </x:c>
      <x:c r="E30" s="20" t="str">
        <x:f>IF(Instructions!$C$38="Yes",IF('Blue'!G30="","",'Blue'!G30),"")</x:f>
        <x:v>malden</x:v>
      </x:c>
      <x:c r="F30" t="str">
        <x:f>IF(Instructions!$C$38="Yes",'Blue'!H30,"")</x:f>
        <x:v>team-1</x:v>
      </x:c>
    </x:row>
    <x:row r="31" ht="24" customHeight="1">
      <x:c r="A31" s="8" t="str">
        <x:f>IF(Instructions!$C$38="Yes",IF('Blue'!F31="","",'Blue'!F31),"")</x:f>
        <x:v>Blue</x:v>
      </x:c>
      <x:c r="B31" s="8" t="str">
        <x:f>IF(Instructions!$C$38="Yes",IF('Blue'!A31="","",'Blue'!A31),"")</x:f>
        <x:v>Medford</x:v>
      </x:c>
      <x:c r="C31" s="8" t="str">
        <x:f>IF(Instructions!$C$38="Yes",IF('Blue'!B31="","",'Blue'!B31),"")</x:f>
        <x:v>Not opened</x:v>
      </x:c>
      <x:c r="D31" s="18" t="str">
        <x:f>IF(Instructions!$C$38="Yes",IF('Blue'!C31="","",'Blue'!C31),"")</x:f>
      </x:c>
      <x:c r="E31" s="20" t="str">
        <x:f>IF(Instructions!$C$38="Yes",IF('Blue'!G31="","",'Blue'!G31),"")</x:f>
        <x:v>medford</x:v>
      </x:c>
      <x:c r="F31" t="str">
        <x:f>IF(Instructions!$C$38="Yes",'Blue'!H31,"")</x:f>
        <x:v>team-1</x:v>
      </x:c>
    </x:row>
    <x:row r="32" ht="24" customHeight="1">
      <x:c r="A32" s="8" t="str">
        <x:f>IF(Instructions!$C$38="Yes",IF('Blue'!F32="","",'Blue'!F32),"")</x:f>
        <x:v>Blue</x:v>
      </x:c>
      <x:c r="B32" s="8" t="str">
        <x:f>IF(Instructions!$C$38="Yes",IF('Blue'!A32="","",'Blue'!A32),"")</x:f>
        <x:v>Brookline</x:v>
      </x:c>
      <x:c r="C32" s="8" t="str">
        <x:f>IF(Instructions!$C$38="Yes",IF('Blue'!B32="","",'Blue'!B32),"")</x:f>
        <x:v>Not opened</x:v>
      </x:c>
      <x:c r="D32" s="18" t="str">
        <x:f>IF(Instructions!$C$38="Yes",IF('Blue'!C32="","",'Blue'!C32),"")</x:f>
      </x:c>
      <x:c r="E32" s="20" t="str">
        <x:f>IF(Instructions!$C$38="Yes",IF('Blue'!G32="","",'Blue'!G32),"")</x:f>
        <x:v>brookline</x:v>
      </x:c>
      <x:c r="F32" t="str">
        <x:f>IF(Instructions!$C$38="Yes",'Blue'!H32,"")</x:f>
        <x:v>team-1</x:v>
      </x:c>
    </x:row>
    <x:row r="33" ht="24" customHeight="1">
      <x:c r="A33" s="8" t="str">
        <x:f>IF(Instructions!$C$38="Yes",IF('Blue'!F33="","",'Blue'!F33),"")</x:f>
        <x:v>Blue</x:v>
      </x:c>
      <x:c r="B33" s="8" t="str">
        <x:f>IF(Instructions!$C$38="Yes",IF('Blue'!A33="","",'Blue'!A33),"")</x:f>
        <x:v>Newton</x:v>
      </x:c>
      <x:c r="C33" s="8" t="str">
        <x:f>IF(Instructions!$C$38="Yes",IF('Blue'!B33="","",'Blue'!B33),"")</x:f>
        <x:v>Not opened</x:v>
      </x:c>
      <x:c r="D33" s="18" t="str">
        <x:f>IF(Instructions!$C$38="Yes",IF('Blue'!C33="","",'Blue'!C33),"")</x:f>
      </x:c>
      <x:c r="E33" s="20" t="str">
        <x:f>IF(Instructions!$C$38="Yes",IF('Blue'!G33="","",'Blue'!G33),"")</x:f>
        <x:v>newton</x:v>
      </x:c>
      <x:c r="F33" t="str">
        <x:f>IF(Instructions!$C$38="Yes",'Blue'!H33,"")</x:f>
        <x:v>team-1</x:v>
      </x:c>
    </x:row>
    <x:row r="34" ht="24" customHeight="1">
      <x:c r="A34" s="8" t="str">
        <x:f>IF(Instructions!$C$38="Yes",IF('Blue'!F34="","",'Blue'!F34),"")</x:f>
        <x:v>Blue</x:v>
      </x:c>
      <x:c r="B34" s="8" t="str">
        <x:f>IF(Instructions!$C$38="Yes",IF('Blue'!A34="","",'Blue'!A34),"")</x:f>
        <x:v>Quincy</x:v>
      </x:c>
      <x:c r="C34" s="8" t="str">
        <x:f>IF(Instructions!$C$38="Yes",IF('Blue'!B34="","",'Blue'!B34),"")</x:f>
        <x:v>Not opened</x:v>
      </x:c>
      <x:c r="D34" s="18" t="str">
        <x:f>IF(Instructions!$C$38="Yes",IF('Blue'!C34="","",'Blue'!C34),"")</x:f>
      </x:c>
      <x:c r="E34" s="20" t="str">
        <x:f>IF(Instructions!$C$38="Yes",IF('Blue'!G34="","",'Blue'!G34),"")</x:f>
        <x:v>quincy</x:v>
      </x:c>
      <x:c r="F34" t="str">
        <x:f>IF(Instructions!$C$38="Yes",'Blue'!H34,"")</x:f>
        <x:v>team-1</x:v>
      </x:c>
    </x:row>
    <x:row r="35" ht="24" customHeight="1">
      <x:c r="A35" s="8" t="str">
        <x:f>IF(Instructions!$C$38="Yes",IF('Blue'!F35="","",'Blue'!F35),"")</x:f>
        <x:v>Blue</x:v>
      </x:c>
      <x:c r="B35" s="8" t="str">
        <x:f>IF(Instructions!$C$38="Yes",IF('Blue'!A35="","",'Blue'!A35),"")</x:f>
        <x:v>Braintree</x:v>
      </x:c>
      <x:c r="C35" s="8" t="str">
        <x:f>IF(Instructions!$C$38="Yes",IF('Blue'!B35="","",'Blue'!B35),"")</x:f>
        <x:v>Not opened</x:v>
      </x:c>
      <x:c r="D35" s="18" t="str">
        <x:f>IF(Instructions!$C$38="Yes",IF('Blue'!C35="","",'Blue'!C35),"")</x:f>
      </x:c>
      <x:c r="E35" s="20" t="str">
        <x:f>IF(Instructions!$C$38="Yes",IF('Blue'!G35="","",'Blue'!G35),"")</x:f>
        <x:v>braintree</x:v>
      </x:c>
      <x:c r="F35" t="str">
        <x:f>IF(Instructions!$C$38="Yes",'Blue'!H35,"")</x:f>
        <x:v>team-1</x:v>
      </x:c>
    </x:row>
    <x:row r="36" ht="24" customHeight="1">
      <x:c r="A36" s="8" t="str">
        <x:f>IF(Instructions!$C$38="Yes",IF('Blue'!F36="","",'Blue'!F36),"")</x:f>
        <x:v>Blue</x:v>
      </x:c>
      <x:c r="B36" s="8" t="str">
        <x:f>IF(Instructions!$C$38="Yes",IF('Blue'!A36="","",'Blue'!A36),"")</x:f>
        <x:v>Winthrop</x:v>
      </x:c>
      <x:c r="C36" s="8" t="str">
        <x:f>IF(Instructions!$C$38="Yes",IF('Blue'!B36="","",'Blue'!B36),"")</x:f>
        <x:v>Not opened</x:v>
      </x:c>
      <x:c r="D36" s="18" t="str">
        <x:f>IF(Instructions!$C$38="Yes",IF('Blue'!C36="","",'Blue'!C36),"")</x:f>
      </x:c>
      <x:c r="E36" s="20" t="str">
        <x:f>IF(Instructions!$C$38="Yes",IF('Blue'!G36="","",'Blue'!G36),"")</x:f>
        <x:v>winthrop</x:v>
      </x:c>
      <x:c r="F36" t="str">
        <x:f>IF(Instructions!$C$38="Yes",'Blue'!H36,"")</x:f>
        <x:v>team-1</x:v>
      </x:c>
    </x:row>
    <x:row r="37" ht="24" customHeight="1">
      <x:c r="A37" s="8" t="str">
        <x:f>IF(Instructions!$C$38="Yes",IF('Blue'!F37="","",'Blue'!F37),"")</x:f>
        <x:v>Blue</x:v>
      </x:c>
      <x:c r="B37" s="8" t="str">
        <x:f>IF(Instructions!$C$38="Yes",IF('Blue'!A37="","",'Blue'!A37),"")</x:f>
        <x:v>Milton</x:v>
      </x:c>
      <x:c r="C37" s="8" t="str">
        <x:f>IF(Instructions!$C$38="Yes",IF('Blue'!B37="","",'Blue'!B37),"")</x:f>
        <x:v>Not opened</x:v>
      </x:c>
      <x:c r="D37" s="18" t="str">
        <x:f>IF(Instructions!$C$38="Yes",IF('Blue'!C37="","",'Blue'!C37),"")</x:f>
      </x:c>
      <x:c r="E37" s="20" t="str">
        <x:f>IF(Instructions!$C$38="Yes",IF('Blue'!G37="","",'Blue'!G37),"")</x:f>
        <x:v>milton</x:v>
      </x:c>
      <x:c r="F37" t="str">
        <x:f>IF(Instructions!$C$38="Yes",'Blue'!H37,"")</x:f>
        <x:v>team-1</x:v>
      </x:c>
    </x:row>
    <x:row r="38" ht="24" customHeight="1">
      <x:c r="A38" s="8" t="str">
        <x:f>IF(Instructions!$C$38="Yes",IF('Blue'!F38="","",'Blue'!F38),"")</x:f>
        <x:v>Blue</x:v>
      </x:c>
      <x:c r="B38" s="8" t="str">
        <x:f>IF(Instructions!$C$38="Yes",IF('Blue'!A38="","",'Blue'!A38),"")</x:f>
        <x:v>Longwood</x:v>
      </x:c>
      <x:c r="C38" s="8" t="str">
        <x:f>IF(Instructions!$C$38="Yes",IF('Blue'!B38="","",'Blue'!B38),"")</x:f>
        <x:v>Not opened</x:v>
      </x:c>
      <x:c r="D38" s="18" t="str">
        <x:f>IF(Instructions!$C$38="Yes",IF('Blue'!C38="","",'Blue'!C38),"")</x:f>
      </x:c>
      <x:c r="E38" s="20" t="str">
        <x:f>IF(Instructions!$C$38="Yes",IF('Blue'!G38="","",'Blue'!G38),"")</x:f>
        <x:v>longwood</x:v>
      </x:c>
      <x:c r="F38" t="str">
        <x:f>IF(Instructions!$C$38="Yes",'Blue'!H38,"")</x:f>
        <x:v>team-1</x:v>
      </x:c>
    </x:row>
    <x:row r="39" ht="24" customHeight="1">
      <x:c r="A39" s="8" t="str">
        <x:f>IF(Instructions!$C$39="Yes",IF('Red'!F2="","",'Red'!F2),"")</x:f>
        <x:v>Red</x:v>
      </x:c>
      <x:c r="B39" s="8" t="str">
        <x:f>IF(Instructions!$C$39="Yes",IF('Red'!A2="","",'Red'!A2),"")</x:f>
        <x:v>Allston</x:v>
      </x:c>
      <x:c r="C39" s="8" t="str">
        <x:f>IF(Instructions!$C$39="Yes",IF('Red'!B2="","",'Red'!B2),"")</x:f>
        <x:v>Not opened</x:v>
      </x:c>
      <x:c r="D39" s="18" t="str">
        <x:f>IF(Instructions!$C$39="Yes",IF('Red'!C2="","",'Red'!C2),"")</x:f>
      </x:c>
      <x:c r="E39" s="20" t="str">
        <x:f>IF(Instructions!$C$39="Yes",IF('Red'!G2="","",'Red'!G2),"")</x:f>
        <x:v>allston</x:v>
      </x:c>
      <x:c r="F39" t="str">
        <x:f>IF(Instructions!$C$39="Yes",'Red'!H2,"")</x:f>
        <x:v>team-2</x:v>
      </x:c>
    </x:row>
    <x:row r="40" ht="24" customHeight="1">
      <x:c r="A40" s="8" t="str">
        <x:f>IF(Instructions!$C$39="Yes",IF('Red'!F3="","",'Red'!F3),"")</x:f>
        <x:v>Red</x:v>
      </x:c>
      <x:c r="B40" s="8" t="str">
        <x:f>IF(Instructions!$C$39="Yes",IF('Red'!A3="","",'Red'!A3),"")</x:f>
        <x:v>Back Bay</x:v>
      </x:c>
      <x:c r="C40" s="8" t="str">
        <x:f>IF(Instructions!$C$39="Yes",IF('Red'!B3="","",'Red'!B3),"")</x:f>
        <x:v>Not opened</x:v>
      </x:c>
      <x:c r="D40" s="18" t="str">
        <x:f>IF(Instructions!$C$39="Yes",IF('Red'!C3="","",'Red'!C3),"")</x:f>
      </x:c>
      <x:c r="E40" s="20" t="str">
        <x:f>IF(Instructions!$C$39="Yes",IF('Red'!G3="","",'Red'!G3),"")</x:f>
        <x:v>back-bay</x:v>
      </x:c>
      <x:c r="F40" t="str">
        <x:f>IF(Instructions!$C$39="Yes",'Red'!H3,"")</x:f>
        <x:v>team-2</x:v>
      </x:c>
    </x:row>
    <x:row r="41" ht="24" customHeight="1">
      <x:c r="A41" s="8" t="str">
        <x:f>IF(Instructions!$C$39="Yes",IF('Red'!F4="","",'Red'!F4),"")</x:f>
        <x:v>Red</x:v>
      </x:c>
      <x:c r="B41" s="8" t="str">
        <x:f>IF(Instructions!$C$39="Yes",IF('Red'!A4="","",'Red'!A4),"")</x:f>
        <x:v>Bay Village</x:v>
      </x:c>
      <x:c r="C41" s="8" t="str">
        <x:f>IF(Instructions!$C$39="Yes",IF('Red'!B4="","",'Red'!B4),"")</x:f>
        <x:v>Not opened</x:v>
      </x:c>
      <x:c r="D41" s="18" t="str">
        <x:f>IF(Instructions!$C$39="Yes",IF('Red'!C4="","",'Red'!C4),"")</x:f>
      </x:c>
      <x:c r="E41" s="20" t="str">
        <x:f>IF(Instructions!$C$39="Yes",IF('Red'!G4="","",'Red'!G4),"")</x:f>
        <x:v>bay-village</x:v>
      </x:c>
      <x:c r="F41" t="str">
        <x:f>IF(Instructions!$C$39="Yes",'Red'!H4,"")</x:f>
        <x:v>team-2</x:v>
      </x:c>
    </x:row>
    <x:row r="42" ht="24" customHeight="1">
      <x:c r="A42" s="8" t="str">
        <x:f>IF(Instructions!$C$39="Yes",IF('Red'!F5="","",'Red'!F5),"")</x:f>
        <x:v>Red</x:v>
      </x:c>
      <x:c r="B42" s="8" t="str">
        <x:f>IF(Instructions!$C$39="Yes",IF('Red'!A5="","",'Red'!A5),"")</x:f>
        <x:v>Beacon Hill</x:v>
      </x:c>
      <x:c r="C42" s="8" t="str">
        <x:f>IF(Instructions!$C$39="Yes",IF('Red'!B5="","",'Red'!B5),"")</x:f>
        <x:v>Not opened</x:v>
      </x:c>
      <x:c r="D42" s="18" t="str">
        <x:f>IF(Instructions!$C$39="Yes",IF('Red'!C5="","",'Red'!C5),"")</x:f>
      </x:c>
      <x:c r="E42" s="20" t="str">
        <x:f>IF(Instructions!$C$39="Yes",IF('Red'!G5="","",'Red'!G5),"")</x:f>
        <x:v>beacon-hill</x:v>
      </x:c>
      <x:c r="F42" t="str">
        <x:f>IF(Instructions!$C$39="Yes",'Red'!H5,"")</x:f>
        <x:v>team-2</x:v>
      </x:c>
    </x:row>
    <x:row r="43" ht="24" customHeight="1">
      <x:c r="A43" s="8" t="str">
        <x:f>IF(Instructions!$C$39="Yes",IF('Red'!F6="","",'Red'!F6),"")</x:f>
        <x:v>Red</x:v>
      </x:c>
      <x:c r="B43" s="8" t="str">
        <x:f>IF(Instructions!$C$39="Yes",IF('Red'!A6="","",'Red'!A6),"")</x:f>
        <x:v>Brighton</x:v>
      </x:c>
      <x:c r="C43" s="8" t="str">
        <x:f>IF(Instructions!$C$39="Yes",IF('Red'!B6="","",'Red'!B6),"")</x:f>
        <x:v>Not opened</x:v>
      </x:c>
      <x:c r="D43" s="18" t="str">
        <x:f>IF(Instructions!$C$39="Yes",IF('Red'!C6="","",'Red'!C6),"")</x:f>
      </x:c>
      <x:c r="E43" s="20" t="str">
        <x:f>IF(Instructions!$C$39="Yes",IF('Red'!G6="","",'Red'!G6),"")</x:f>
        <x:v>brighton</x:v>
      </x:c>
      <x:c r="F43" t="str">
        <x:f>IF(Instructions!$C$39="Yes",'Red'!H6,"")</x:f>
        <x:v>team-2</x:v>
      </x:c>
    </x:row>
    <x:row r="44" ht="24" customHeight="1">
      <x:c r="A44" s="8" t="str">
        <x:f>IF(Instructions!$C$39="Yes",IF('Red'!F7="","",'Red'!F7),"")</x:f>
        <x:v>Red</x:v>
      </x:c>
      <x:c r="B44" s="8" t="str">
        <x:f>IF(Instructions!$C$39="Yes",IF('Red'!A7="","",'Red'!A7),"")</x:f>
        <x:v>Charlestown</x:v>
      </x:c>
      <x:c r="C44" s="8" t="str">
        <x:f>IF(Instructions!$C$39="Yes",IF('Red'!B7="","",'Red'!B7),"")</x:f>
        <x:v>Not opened</x:v>
      </x:c>
      <x:c r="D44" s="18" t="str">
        <x:f>IF(Instructions!$C$39="Yes",IF('Red'!C7="","",'Red'!C7),"")</x:f>
      </x:c>
      <x:c r="E44" s="20" t="str">
        <x:f>IF(Instructions!$C$39="Yes",IF('Red'!G7="","",'Red'!G7),"")</x:f>
        <x:v>charlestown</x:v>
      </x:c>
      <x:c r="F44" t="str">
        <x:f>IF(Instructions!$C$39="Yes",'Red'!H7,"")</x:f>
        <x:v>team-2</x:v>
      </x:c>
    </x:row>
    <x:row r="45" ht="24" customHeight="1">
      <x:c r="A45" s="8" t="str">
        <x:f>IF(Instructions!$C$39="Yes",IF('Red'!F8="","",'Red'!F8),"")</x:f>
        <x:v>Red</x:v>
      </x:c>
      <x:c r="B45" s="8" t="str">
        <x:f>IF(Instructions!$C$39="Yes",IF('Red'!A8="","",'Red'!A8),"")</x:f>
        <x:v>Chinatown</x:v>
      </x:c>
      <x:c r="C45" s="8" t="str">
        <x:f>IF(Instructions!$C$39="Yes",IF('Red'!B8="","",'Red'!B8),"")</x:f>
        <x:v>Not opened</x:v>
      </x:c>
      <x:c r="D45" s="18" t="str">
        <x:f>IF(Instructions!$C$39="Yes",IF('Red'!C8="","",'Red'!C8),"")</x:f>
      </x:c>
      <x:c r="E45" s="20" t="str">
        <x:f>IF(Instructions!$C$39="Yes",IF('Red'!G8="","",'Red'!G8),"")</x:f>
        <x:v>chinatown-leather-district</x:v>
      </x:c>
      <x:c r="F45" t="str">
        <x:f>IF(Instructions!$C$39="Yes",'Red'!H8,"")</x:f>
        <x:v>team-2</x:v>
      </x:c>
    </x:row>
    <x:row r="46" ht="24" customHeight="1">
      <x:c r="A46" s="8" t="str">
        <x:f>IF(Instructions!$C$39="Yes",IF('Red'!F9="","",'Red'!F9),"")</x:f>
        <x:v>Red</x:v>
      </x:c>
      <x:c r="B46" s="8" t="str">
        <x:f>IF(Instructions!$C$39="Yes",IF('Red'!A9="","",'Red'!A9),"")</x:f>
        <x:v>Dorchester</x:v>
      </x:c>
      <x:c r="C46" s="8" t="str">
        <x:f>IF(Instructions!$C$39="Yes",IF('Red'!B9="","",'Red'!B9),"")</x:f>
        <x:v>Not opened</x:v>
      </x:c>
      <x:c r="D46" s="18" t="str">
        <x:f>IF(Instructions!$C$39="Yes",IF('Red'!C9="","",'Red'!C9),"")</x:f>
      </x:c>
      <x:c r="E46" s="20" t="str">
        <x:f>IF(Instructions!$C$39="Yes",IF('Red'!G9="","",'Red'!G9),"")</x:f>
        <x:v>dorchester</x:v>
      </x:c>
      <x:c r="F46" t="str">
        <x:f>IF(Instructions!$C$39="Yes",'Red'!H9,"")</x:f>
        <x:v>team-2</x:v>
      </x:c>
    </x:row>
    <x:row r="47" ht="24" customHeight="1">
      <x:c r="A47" s="8" t="str">
        <x:f>IF(Instructions!$C$39="Yes",IF('Red'!F10="","",'Red'!F10),"")</x:f>
        <x:v>Red</x:v>
      </x:c>
      <x:c r="B47" s="8" t="str">
        <x:f>IF(Instructions!$C$39="Yes",IF('Red'!A10="","",'Red'!A10),"")</x:f>
        <x:v>Downtown</x:v>
      </x:c>
      <x:c r="C47" s="8" t="str">
        <x:f>IF(Instructions!$C$39="Yes",IF('Red'!B10="","",'Red'!B10),"")</x:f>
        <x:v>Not opened</x:v>
      </x:c>
      <x:c r="D47" s="18" t="str">
        <x:f>IF(Instructions!$C$39="Yes",IF('Red'!C10="","",'Red'!C10),"")</x:f>
      </x:c>
      <x:c r="E47" s="20" t="str">
        <x:f>IF(Instructions!$C$39="Yes",IF('Red'!G10="","",'Red'!G10),"")</x:f>
        <x:v>downtown</x:v>
      </x:c>
      <x:c r="F47" t="str">
        <x:f>IF(Instructions!$C$39="Yes",'Red'!H10,"")</x:f>
        <x:v>team-2</x:v>
      </x:c>
    </x:row>
    <x:row r="48" ht="24" customHeight="1">
      <x:c r="A48" s="8" t="str">
        <x:f>IF(Instructions!$C$39="Yes",IF('Red'!F11="","",'Red'!F11),"")</x:f>
        <x:v>Red</x:v>
      </x:c>
      <x:c r="B48" s="8" t="str">
        <x:f>IF(Instructions!$C$39="Yes",IF('Red'!A11="","",'Red'!A11),"")</x:f>
        <x:v>East Boston</x:v>
      </x:c>
      <x:c r="C48" s="8" t="str">
        <x:f>IF(Instructions!$C$39="Yes",IF('Red'!B11="","",'Red'!B11),"")</x:f>
        <x:v>Not opened</x:v>
      </x:c>
      <x:c r="D48" s="18" t="str">
        <x:f>IF(Instructions!$C$39="Yes",IF('Red'!C11="","",'Red'!C11),"")</x:f>
      </x:c>
      <x:c r="E48" s="20" t="str">
        <x:f>IF(Instructions!$C$39="Yes",IF('Red'!G11="","",'Red'!G11),"")</x:f>
        <x:v>east-boston</x:v>
      </x:c>
      <x:c r="F48" t="str">
        <x:f>IF(Instructions!$C$39="Yes",'Red'!H11,"")</x:f>
        <x:v>team-2</x:v>
      </x:c>
    </x:row>
    <x:row r="49" ht="24" customHeight="1">
      <x:c r="A49" s="8" t="str">
        <x:f>IF(Instructions!$C$39="Yes",IF('Red'!F12="","",'Red'!F12),"")</x:f>
        <x:v>Red</x:v>
      </x:c>
      <x:c r="B49" s="8" t="str">
        <x:f>IF(Instructions!$C$39="Yes",IF('Red'!A12="","",'Red'!A12),"")</x:f>
        <x:v>Fenway–Kenmore</x:v>
      </x:c>
      <x:c r="C49" s="8" t="str">
        <x:f>IF(Instructions!$C$39="Yes",IF('Red'!B12="","",'Red'!B12),"")</x:f>
        <x:v>Not opened</x:v>
      </x:c>
      <x:c r="D49" s="18" t="str">
        <x:f>IF(Instructions!$C$39="Yes",IF('Red'!C12="","",'Red'!C12),"")</x:f>
      </x:c>
      <x:c r="E49" s="20" t="str">
        <x:f>IF(Instructions!$C$39="Yes",IF('Red'!G12="","",'Red'!G12),"")</x:f>
        <x:v>fenway-kenmore</x:v>
      </x:c>
      <x:c r="F49" t="str">
        <x:f>IF(Instructions!$C$39="Yes",'Red'!H12,"")</x:f>
        <x:v>team-2</x:v>
      </x:c>
    </x:row>
    <x:row r="50" ht="24" customHeight="1">
      <x:c r="A50" s="8" t="str">
        <x:f>IF(Instructions!$C$39="Yes",IF('Red'!F13="","",'Red'!F13),"")</x:f>
        <x:v>Red</x:v>
      </x:c>
      <x:c r="B50" s="8" t="str">
        <x:f>IF(Instructions!$C$39="Yes",IF('Red'!A13="","",'Red'!A13),"")</x:f>
        <x:v>Hyde Park</x:v>
      </x:c>
      <x:c r="C50" s="8" t="str">
        <x:f>IF(Instructions!$C$39="Yes",IF('Red'!B13="","",'Red'!B13),"")</x:f>
        <x:v>Not opened</x:v>
      </x:c>
      <x:c r="D50" s="18" t="str">
        <x:f>IF(Instructions!$C$39="Yes",IF('Red'!C13="","",'Red'!C13),"")</x:f>
      </x:c>
      <x:c r="E50" s="20" t="str">
        <x:f>IF(Instructions!$C$39="Yes",IF('Red'!G13="","",'Red'!G13),"")</x:f>
        <x:v>hyde-park</x:v>
      </x:c>
      <x:c r="F50" t="str">
        <x:f>IF(Instructions!$C$39="Yes",'Red'!H13,"")</x:f>
        <x:v>team-2</x:v>
      </x:c>
    </x:row>
    <x:row r="51" ht="24" customHeight="1">
      <x:c r="A51" s="8" t="str">
        <x:f>IF(Instructions!$C$39="Yes",IF('Red'!F14="","",'Red'!F14),"")</x:f>
        <x:v>Red</x:v>
      </x:c>
      <x:c r="B51" s="8" t="str">
        <x:f>IF(Instructions!$C$39="Yes",IF('Red'!A14="","",'Red'!A14),"")</x:f>
        <x:v>Jamaica Plain</x:v>
      </x:c>
      <x:c r="C51" s="8" t="str">
        <x:f>IF(Instructions!$C$39="Yes",IF('Red'!B14="","",'Red'!B14),"")</x:f>
        <x:v>Not opened</x:v>
      </x:c>
      <x:c r="D51" s="18" t="str">
        <x:f>IF(Instructions!$C$39="Yes",IF('Red'!C14="","",'Red'!C14),"")</x:f>
      </x:c>
      <x:c r="E51" s="20" t="str">
        <x:f>IF(Instructions!$C$39="Yes",IF('Red'!G14="","",'Red'!G14),"")</x:f>
        <x:v>jamaica-plain</x:v>
      </x:c>
      <x:c r="F51" t="str">
        <x:f>IF(Instructions!$C$39="Yes",'Red'!H14,"")</x:f>
        <x:v>team-2</x:v>
      </x:c>
    </x:row>
    <x:row r="52" ht="24" customHeight="1">
      <x:c r="A52" s="8" t="str">
        <x:f>IF(Instructions!$C$39="Yes",IF('Red'!F15="","",'Red'!F15),"")</x:f>
        <x:v>Red</x:v>
      </x:c>
      <x:c r="B52" s="8" t="str">
        <x:f>IF(Instructions!$C$39="Yes",IF('Red'!A15="","",'Red'!A15),"")</x:f>
        <x:v>Mattapan</x:v>
      </x:c>
      <x:c r="C52" s="8" t="str">
        <x:f>IF(Instructions!$C$39="Yes",IF('Red'!B15="","",'Red'!B15),"")</x:f>
        <x:v>Not opened</x:v>
      </x:c>
      <x:c r="D52" s="18" t="str">
        <x:f>IF(Instructions!$C$39="Yes",IF('Red'!C15="","",'Red'!C15),"")</x:f>
      </x:c>
      <x:c r="E52" s="20" t="str">
        <x:f>IF(Instructions!$C$39="Yes",IF('Red'!G15="","",'Red'!G15),"")</x:f>
        <x:v>mattapan</x:v>
      </x:c>
      <x:c r="F52" t="str">
        <x:f>IF(Instructions!$C$39="Yes",'Red'!H15,"")</x:f>
        <x:v>team-2</x:v>
      </x:c>
    </x:row>
    <x:row r="53" ht="24" customHeight="1">
      <x:c r="A53" s="8" t="str">
        <x:f>IF(Instructions!$C$39="Yes",IF('Red'!F16="","",'Red'!F16),"")</x:f>
        <x:v>Red</x:v>
      </x:c>
      <x:c r="B53" s="8" t="str">
        <x:f>IF(Instructions!$C$39="Yes",IF('Red'!A16="","",'Red'!A16),"")</x:f>
        <x:v>Mission Hill</x:v>
      </x:c>
      <x:c r="C53" s="8" t="str">
        <x:f>IF(Instructions!$C$39="Yes",IF('Red'!B16="","",'Red'!B16),"")</x:f>
        <x:v>Not opened</x:v>
      </x:c>
      <x:c r="D53" s="18" t="str">
        <x:f>IF(Instructions!$C$39="Yes",IF('Red'!C16="","",'Red'!C16),"")</x:f>
      </x:c>
      <x:c r="E53" s="20" t="str">
        <x:f>IF(Instructions!$C$39="Yes",IF('Red'!G16="","",'Red'!G16),"")</x:f>
        <x:v>mission-hill</x:v>
      </x:c>
      <x:c r="F53" t="str">
        <x:f>IF(Instructions!$C$39="Yes",'Red'!H16,"")</x:f>
        <x:v>team-2</x:v>
      </x:c>
    </x:row>
    <x:row r="54" ht="24" customHeight="1">
      <x:c r="A54" s="8" t="str">
        <x:f>IF(Instructions!$C$39="Yes",IF('Red'!F17="","",'Red'!F17),"")</x:f>
        <x:v>Red</x:v>
      </x:c>
      <x:c r="B54" s="8" t="str">
        <x:f>IF(Instructions!$C$39="Yes",IF('Red'!A17="","",'Red'!A17),"")</x:f>
        <x:v>North End</x:v>
      </x:c>
      <x:c r="C54" s="8" t="str">
        <x:f>IF(Instructions!$C$39="Yes",IF('Red'!B17="","",'Red'!B17),"")</x:f>
        <x:v>Not opened</x:v>
      </x:c>
      <x:c r="D54" s="18" t="str">
        <x:f>IF(Instructions!$C$39="Yes",IF('Red'!C17="","",'Red'!C17),"")</x:f>
      </x:c>
      <x:c r="E54" s="20" t="str">
        <x:f>IF(Instructions!$C$39="Yes",IF('Red'!G17="","",'Red'!G17),"")</x:f>
        <x:v>north-end</x:v>
      </x:c>
      <x:c r="F54" t="str">
        <x:f>IF(Instructions!$C$39="Yes",'Red'!H17,"")</x:f>
        <x:v>team-2</x:v>
      </x:c>
    </x:row>
    <x:row r="55" ht="24" customHeight="1">
      <x:c r="A55" s="8" t="str">
        <x:f>IF(Instructions!$C$39="Yes",IF('Red'!F18="","",'Red'!F18),"")</x:f>
        <x:v>Red</x:v>
      </x:c>
      <x:c r="B55" s="8" t="str">
        <x:f>IF(Instructions!$C$39="Yes",IF('Red'!A18="","",'Red'!A18),"")</x:f>
        <x:v>Roslindale</x:v>
      </x:c>
      <x:c r="C55" s="8" t="str">
        <x:f>IF(Instructions!$C$39="Yes",IF('Red'!B18="","",'Red'!B18),"")</x:f>
        <x:v>Not opened</x:v>
      </x:c>
      <x:c r="D55" s="18" t="str">
        <x:f>IF(Instructions!$C$39="Yes",IF('Red'!C18="","",'Red'!C18),"")</x:f>
      </x:c>
      <x:c r="E55" s="20" t="str">
        <x:f>IF(Instructions!$C$39="Yes",IF('Red'!G18="","",'Red'!G18),"")</x:f>
        <x:v>roslindale</x:v>
      </x:c>
      <x:c r="F55" t="str">
        <x:f>IF(Instructions!$C$39="Yes",'Red'!H18,"")</x:f>
        <x:v>team-2</x:v>
      </x:c>
    </x:row>
    <x:row r="56" ht="24" customHeight="1">
      <x:c r="A56" s="8" t="str">
        <x:f>IF(Instructions!$C$39="Yes",IF('Red'!F19="","",'Red'!F19),"")</x:f>
        <x:v>Red</x:v>
      </x:c>
      <x:c r="B56" s="8" t="str">
        <x:f>IF(Instructions!$C$39="Yes",IF('Red'!A19="","",'Red'!A19),"")</x:f>
        <x:v>Roxbury</x:v>
      </x:c>
      <x:c r="C56" s="8" t="str">
        <x:f>IF(Instructions!$C$39="Yes",IF('Red'!B19="","",'Red'!B19),"")</x:f>
        <x:v>Not opened</x:v>
      </x:c>
      <x:c r="D56" s="18" t="str">
        <x:f>IF(Instructions!$C$39="Yes",IF('Red'!C19="","",'Red'!C19),"")</x:f>
      </x:c>
      <x:c r="E56" s="20" t="str">
        <x:f>IF(Instructions!$C$39="Yes",IF('Red'!G19="","",'Red'!G19),"")</x:f>
        <x:v>roxbury</x:v>
      </x:c>
      <x:c r="F56" t="str">
        <x:f>IF(Instructions!$C$39="Yes",'Red'!H19,"")</x:f>
        <x:v>team-2</x:v>
      </x:c>
    </x:row>
    <x:row r="57" ht="24" customHeight="1">
      <x:c r="A57" s="8" t="str">
        <x:f>IF(Instructions!$C$39="Yes",IF('Red'!F20="","",'Red'!F20),"")</x:f>
        <x:v>Red</x:v>
      </x:c>
      <x:c r="B57" s="8" t="str">
        <x:f>IF(Instructions!$C$39="Yes",IF('Red'!A20="","",'Red'!A20),"")</x:f>
        <x:v>South Boston</x:v>
      </x:c>
      <x:c r="C57" s="8" t="str">
        <x:f>IF(Instructions!$C$39="Yes",IF('Red'!B20="","",'Red'!B20),"")</x:f>
        <x:v>Not opened</x:v>
      </x:c>
      <x:c r="D57" s="18" t="str">
        <x:f>IF(Instructions!$C$39="Yes",IF('Red'!C20="","",'Red'!C20),"")</x:f>
      </x:c>
      <x:c r="E57" s="20" t="str">
        <x:f>IF(Instructions!$C$39="Yes",IF('Red'!G20="","",'Red'!G20),"")</x:f>
        <x:v>south-boston</x:v>
      </x:c>
      <x:c r="F57" t="str">
        <x:f>IF(Instructions!$C$39="Yes",'Red'!H20,"")</x:f>
        <x:v>team-2</x:v>
      </x:c>
    </x:row>
    <x:row r="58" ht="24" customHeight="1">
      <x:c r="A58" s="8" t="str">
        <x:f>IF(Instructions!$C$39="Yes",IF('Red'!F21="","",'Red'!F21),"")</x:f>
        <x:v>Red</x:v>
      </x:c>
      <x:c r="B58" s="8" t="str">
        <x:f>IF(Instructions!$C$39="Yes",IF('Red'!A21="","",'Red'!A21),"")</x:f>
        <x:v>South End</x:v>
      </x:c>
      <x:c r="C58" s="8" t="str">
        <x:f>IF(Instructions!$C$39="Yes",IF('Red'!B21="","",'Red'!B21),"")</x:f>
        <x:v>Not opened</x:v>
      </x:c>
      <x:c r="D58" s="18" t="str">
        <x:f>IF(Instructions!$C$39="Yes",IF('Red'!C21="","",'Red'!C21),"")</x:f>
      </x:c>
      <x:c r="E58" s="20" t="str">
        <x:f>IF(Instructions!$C$39="Yes",IF('Red'!G21="","",'Red'!G21),"")</x:f>
        <x:v>south-end</x:v>
      </x:c>
      <x:c r="F58" t="str">
        <x:f>IF(Instructions!$C$39="Yes",'Red'!H21,"")</x:f>
        <x:v>team-2</x:v>
      </x:c>
    </x:row>
    <x:row r="59" ht="24" customHeight="1">
      <x:c r="A59" s="8" t="str">
        <x:f>IF(Instructions!$C$39="Yes",IF('Red'!F22="","",'Red'!F22),"")</x:f>
        <x:v>Red</x:v>
      </x:c>
      <x:c r="B59" s="8" t="str">
        <x:f>IF(Instructions!$C$39="Yes",IF('Red'!A22="","",'Red'!A22),"")</x:f>
        <x:v>West End</x:v>
      </x:c>
      <x:c r="C59" s="8" t="str">
        <x:f>IF(Instructions!$C$39="Yes",IF('Red'!B22="","",'Red'!B22),"")</x:f>
        <x:v>Not opened</x:v>
      </x:c>
      <x:c r="D59" s="18" t="str">
        <x:f>IF(Instructions!$C$39="Yes",IF('Red'!C22="","",'Red'!C22),"")</x:f>
      </x:c>
      <x:c r="E59" s="20" t="str">
        <x:f>IF(Instructions!$C$39="Yes",IF('Red'!G22="","",'Red'!G22),"")</x:f>
        <x:v>west-end</x:v>
      </x:c>
      <x:c r="F59" t="str">
        <x:f>IF(Instructions!$C$39="Yes",'Red'!H22,"")</x:f>
        <x:v>team-2</x:v>
      </x:c>
    </x:row>
    <x:row r="60" ht="24" customHeight="1">
      <x:c r="A60" s="8" t="str">
        <x:f>IF(Instructions!$C$39="Yes",IF('Red'!F23="","",'Red'!F23),"")</x:f>
        <x:v>Red</x:v>
      </x:c>
      <x:c r="B60" s="8" t="str">
        <x:f>IF(Instructions!$C$39="Yes",IF('Red'!A23="","",'Red'!A23),"")</x:f>
        <x:v>West Roxbury</x:v>
      </x:c>
      <x:c r="C60" s="8" t="str">
        <x:f>IF(Instructions!$C$39="Yes",IF('Red'!B23="","",'Red'!B23),"")</x:f>
        <x:v>Not opened</x:v>
      </x:c>
      <x:c r="D60" s="18" t="str">
        <x:f>IF(Instructions!$C$39="Yes",IF('Red'!C23="","",'Red'!C23),"")</x:f>
      </x:c>
      <x:c r="E60" s="20" t="str">
        <x:f>IF(Instructions!$C$39="Yes",IF('Red'!G23="","",'Red'!G23),"")</x:f>
        <x:v>west-roxbury</x:v>
      </x:c>
      <x:c r="F60" t="str">
        <x:f>IF(Instructions!$C$39="Yes",'Red'!H23,"")</x:f>
        <x:v>team-2</x:v>
      </x:c>
    </x:row>
    <x:row r="61" ht="24" customHeight="1">
      <x:c r="A61" s="8" t="str">
        <x:f>IF(Instructions!$C$39="Yes",IF('Red'!F24="","",'Red'!F24),"")</x:f>
        <x:v>Red</x:v>
      </x:c>
      <x:c r="B61" s="8" t="str">
        <x:f>IF(Instructions!$C$39="Yes",IF('Red'!A24="","",'Red'!A24),"")</x:f>
        <x:v>Seaport</x:v>
      </x:c>
      <x:c r="C61" s="8" t="str">
        <x:f>IF(Instructions!$C$39="Yes",IF('Red'!B24="","",'Red'!B24),"")</x:f>
        <x:v>Not opened</x:v>
      </x:c>
      <x:c r="D61" s="18" t="str">
        <x:f>IF(Instructions!$C$39="Yes",IF('Red'!C24="","",'Red'!C24),"")</x:f>
      </x:c>
      <x:c r="E61" s="20" t="str">
        <x:f>IF(Instructions!$C$39="Yes",IF('Red'!G24="","",'Red'!G24),"")</x:f>
        <x:v>seaport</x:v>
      </x:c>
      <x:c r="F61" t="str">
        <x:f>IF(Instructions!$C$39="Yes",'Red'!H24,"")</x:f>
        <x:v>team-2</x:v>
      </x:c>
    </x:row>
    <x:row r="62" ht="24" customHeight="1">
      <x:c r="A62" s="8" t="str">
        <x:f>IF(Instructions!$C$39="Yes",IF('Red'!F25="","",'Red'!F25),"")</x:f>
        <x:v>Red</x:v>
      </x:c>
      <x:c r="B62" s="8" t="str">
        <x:f>IF(Instructions!$C$39="Yes",IF('Red'!A25="","",'Red'!A25),"")</x:f>
        <x:v>Cambridge</x:v>
      </x:c>
      <x:c r="C62" s="8" t="str">
        <x:f>IF(Instructions!$C$39="Yes",IF('Red'!B25="","",'Red'!B25),"")</x:f>
        <x:v>Not opened</x:v>
      </x:c>
      <x:c r="D62" s="18" t="str">
        <x:f>IF(Instructions!$C$39="Yes",IF('Red'!C25="","",'Red'!C25),"")</x:f>
      </x:c>
      <x:c r="E62" s="20" t="str">
        <x:f>IF(Instructions!$C$39="Yes",IF('Red'!G25="","",'Red'!G25),"")</x:f>
        <x:v>cambridge</x:v>
      </x:c>
      <x:c r="F62" t="str">
        <x:f>IF(Instructions!$C$39="Yes",'Red'!H25,"")</x:f>
        <x:v>team-2</x:v>
      </x:c>
    </x:row>
    <x:row r="63" ht="24" customHeight="1">
      <x:c r="A63" s="8" t="str">
        <x:f>IF(Instructions!$C$39="Yes",IF('Red'!F26="","",'Red'!F26),"")</x:f>
        <x:v>Red</x:v>
      </x:c>
      <x:c r="B63" s="8" t="str">
        <x:f>IF(Instructions!$C$39="Yes",IF('Red'!A26="","",'Red'!A26),"")</x:f>
        <x:v>Somerville</x:v>
      </x:c>
      <x:c r="C63" s="8" t="str">
        <x:f>IF(Instructions!$C$39="Yes",IF('Red'!B26="","",'Red'!B26),"")</x:f>
        <x:v>Not opened</x:v>
      </x:c>
      <x:c r="D63" s="18" t="str">
        <x:f>IF(Instructions!$C$39="Yes",IF('Red'!C26="","",'Red'!C26),"")</x:f>
      </x:c>
      <x:c r="E63" s="20" t="str">
        <x:f>IF(Instructions!$C$39="Yes",IF('Red'!G26="","",'Red'!G26),"")</x:f>
        <x:v>somerville</x:v>
      </x:c>
      <x:c r="F63" t="str">
        <x:f>IF(Instructions!$C$39="Yes",'Red'!H26,"")</x:f>
        <x:v>team-2</x:v>
      </x:c>
    </x:row>
    <x:row r="64" ht="24" customHeight="1">
      <x:c r="A64" s="8" t="str">
        <x:f>IF(Instructions!$C$39="Yes",IF('Red'!F27="","",'Red'!F27),"")</x:f>
        <x:v>Red</x:v>
      </x:c>
      <x:c r="B64" s="8" t="str">
        <x:f>IF(Instructions!$C$39="Yes",IF('Red'!A27="","",'Red'!A27),"")</x:f>
        <x:v>Everett</x:v>
      </x:c>
      <x:c r="C64" s="8" t="str">
        <x:f>IF(Instructions!$C$39="Yes",IF('Red'!B27="","",'Red'!B27),"")</x:f>
        <x:v>Not opened</x:v>
      </x:c>
      <x:c r="D64" s="18" t="str">
        <x:f>IF(Instructions!$C$39="Yes",IF('Red'!C27="","",'Red'!C27),"")</x:f>
      </x:c>
      <x:c r="E64" s="20" t="str">
        <x:f>IF(Instructions!$C$39="Yes",IF('Red'!G27="","",'Red'!G27),"")</x:f>
        <x:v>everett</x:v>
      </x:c>
      <x:c r="F64" t="str">
        <x:f>IF(Instructions!$C$39="Yes",'Red'!H27,"")</x:f>
        <x:v>team-2</x:v>
      </x:c>
    </x:row>
    <x:row r="65" ht="24" customHeight="1">
      <x:c r="A65" s="8" t="str">
        <x:f>IF(Instructions!$C$39="Yes",IF('Red'!F28="","",'Red'!F28),"")</x:f>
        <x:v>Red</x:v>
      </x:c>
      <x:c r="B65" s="8" t="str">
        <x:f>IF(Instructions!$C$39="Yes",IF('Red'!A28="","",'Red'!A28),"")</x:f>
        <x:v>Chelsea</x:v>
      </x:c>
      <x:c r="C65" s="8" t="str">
        <x:f>IF(Instructions!$C$39="Yes",IF('Red'!B28="","",'Red'!B28),"")</x:f>
        <x:v>Not opened</x:v>
      </x:c>
      <x:c r="D65" s="18" t="str">
        <x:f>IF(Instructions!$C$39="Yes",IF('Red'!C28="","",'Red'!C28),"")</x:f>
      </x:c>
      <x:c r="E65" s="20" t="str">
        <x:f>IF(Instructions!$C$39="Yes",IF('Red'!G28="","",'Red'!G28),"")</x:f>
        <x:v>chelsea</x:v>
      </x:c>
      <x:c r="F65" t="str">
        <x:f>IF(Instructions!$C$39="Yes",'Red'!H28,"")</x:f>
        <x:v>team-2</x:v>
      </x:c>
    </x:row>
    <x:row r="66" ht="24" customHeight="1">
      <x:c r="A66" s="8" t="str">
        <x:f>IF(Instructions!$C$39="Yes",IF('Red'!F29="","",'Red'!F29),"")</x:f>
        <x:v>Red</x:v>
      </x:c>
      <x:c r="B66" s="8" t="str">
        <x:f>IF(Instructions!$C$39="Yes",IF('Red'!A29="","",'Red'!A29),"")</x:f>
        <x:v>Revere</x:v>
      </x:c>
      <x:c r="C66" s="8" t="str">
        <x:f>IF(Instructions!$C$39="Yes",IF('Red'!B29="","",'Red'!B29),"")</x:f>
        <x:v>Not opened</x:v>
      </x:c>
      <x:c r="D66" s="18" t="str">
        <x:f>IF(Instructions!$C$39="Yes",IF('Red'!C29="","",'Red'!C29),"")</x:f>
      </x:c>
      <x:c r="E66" s="20" t="str">
        <x:f>IF(Instructions!$C$39="Yes",IF('Red'!G29="","",'Red'!G29),"")</x:f>
        <x:v>revere</x:v>
      </x:c>
      <x:c r="F66" t="str">
        <x:f>IF(Instructions!$C$39="Yes",'Red'!H29,"")</x:f>
        <x:v>team-2</x:v>
      </x:c>
    </x:row>
    <x:row r="67" ht="24" customHeight="1">
      <x:c r="A67" s="8" t="str">
        <x:f>IF(Instructions!$C$39="Yes",IF('Red'!F30="","",'Red'!F30),"")</x:f>
        <x:v>Red</x:v>
      </x:c>
      <x:c r="B67" s="8" t="str">
        <x:f>IF(Instructions!$C$39="Yes",IF('Red'!A30="","",'Red'!A30),"")</x:f>
        <x:v>Malden</x:v>
      </x:c>
      <x:c r="C67" s="8" t="str">
        <x:f>IF(Instructions!$C$39="Yes",IF('Red'!B30="","",'Red'!B30),"")</x:f>
        <x:v>Not opened</x:v>
      </x:c>
      <x:c r="D67" s="18" t="str">
        <x:f>IF(Instructions!$C$39="Yes",IF('Red'!C30="","",'Red'!C30),"")</x:f>
      </x:c>
      <x:c r="E67" s="20" t="str">
        <x:f>IF(Instructions!$C$39="Yes",IF('Red'!G30="","",'Red'!G30),"")</x:f>
        <x:v>malden</x:v>
      </x:c>
      <x:c r="F67" t="str">
        <x:f>IF(Instructions!$C$39="Yes",'Red'!H30,"")</x:f>
        <x:v>team-2</x:v>
      </x:c>
    </x:row>
    <x:row r="68" ht="24" customHeight="1">
      <x:c r="A68" s="8" t="str">
        <x:f>IF(Instructions!$C$39="Yes",IF('Red'!F31="","",'Red'!F31),"")</x:f>
        <x:v>Red</x:v>
      </x:c>
      <x:c r="B68" s="8" t="str">
        <x:f>IF(Instructions!$C$39="Yes",IF('Red'!A31="","",'Red'!A31),"")</x:f>
        <x:v>Medford</x:v>
      </x:c>
      <x:c r="C68" s="8" t="str">
        <x:f>IF(Instructions!$C$39="Yes",IF('Red'!B31="","",'Red'!B31),"")</x:f>
        <x:v>Not opened</x:v>
      </x:c>
      <x:c r="D68" s="18" t="str">
        <x:f>IF(Instructions!$C$39="Yes",IF('Red'!C31="","",'Red'!C31),"")</x:f>
      </x:c>
      <x:c r="E68" s="20" t="str">
        <x:f>IF(Instructions!$C$39="Yes",IF('Red'!G31="","",'Red'!G31),"")</x:f>
        <x:v>medford</x:v>
      </x:c>
      <x:c r="F68" t="str">
        <x:f>IF(Instructions!$C$39="Yes",'Red'!H31,"")</x:f>
        <x:v>team-2</x:v>
      </x:c>
    </x:row>
    <x:row r="69" ht="24" customHeight="1">
      <x:c r="A69" s="8" t="str">
        <x:f>IF(Instructions!$C$39="Yes",IF('Red'!F32="","",'Red'!F32),"")</x:f>
        <x:v>Red</x:v>
      </x:c>
      <x:c r="B69" s="8" t="str">
        <x:f>IF(Instructions!$C$39="Yes",IF('Red'!A32="","",'Red'!A32),"")</x:f>
        <x:v>Brookline</x:v>
      </x:c>
      <x:c r="C69" s="8" t="str">
        <x:f>IF(Instructions!$C$39="Yes",IF('Red'!B32="","",'Red'!B32),"")</x:f>
        <x:v>Not opened</x:v>
      </x:c>
      <x:c r="D69" s="18" t="str">
        <x:f>IF(Instructions!$C$39="Yes",IF('Red'!C32="","",'Red'!C32),"")</x:f>
      </x:c>
      <x:c r="E69" s="20" t="str">
        <x:f>IF(Instructions!$C$39="Yes",IF('Red'!G32="","",'Red'!G32),"")</x:f>
        <x:v>brookline</x:v>
      </x:c>
      <x:c r="F69" t="str">
        <x:f>IF(Instructions!$C$39="Yes",'Red'!H32,"")</x:f>
        <x:v>team-2</x:v>
      </x:c>
    </x:row>
    <x:row r="70" ht="24" customHeight="1">
      <x:c r="A70" s="8" t="str">
        <x:f>IF(Instructions!$C$39="Yes",IF('Red'!F33="","",'Red'!F33),"")</x:f>
        <x:v>Red</x:v>
      </x:c>
      <x:c r="B70" s="8" t="str">
        <x:f>IF(Instructions!$C$39="Yes",IF('Red'!A33="","",'Red'!A33),"")</x:f>
        <x:v>Newton</x:v>
      </x:c>
      <x:c r="C70" s="8" t="str">
        <x:f>IF(Instructions!$C$39="Yes",IF('Red'!B33="","",'Red'!B33),"")</x:f>
        <x:v>Not opened</x:v>
      </x:c>
      <x:c r="D70" s="18" t="str">
        <x:f>IF(Instructions!$C$39="Yes",IF('Red'!C33="","",'Red'!C33),"")</x:f>
      </x:c>
      <x:c r="E70" s="20" t="str">
        <x:f>IF(Instructions!$C$39="Yes",IF('Red'!G33="","",'Red'!G33),"")</x:f>
        <x:v>newton</x:v>
      </x:c>
      <x:c r="F70" t="str">
        <x:f>IF(Instructions!$C$39="Yes",'Red'!H33,"")</x:f>
        <x:v>team-2</x:v>
      </x:c>
    </x:row>
    <x:row r="71" ht="24" customHeight="1">
      <x:c r="A71" s="8" t="str">
        <x:f>IF(Instructions!$C$39="Yes",IF('Red'!F34="","",'Red'!F34),"")</x:f>
        <x:v>Red</x:v>
      </x:c>
      <x:c r="B71" s="8" t="str">
        <x:f>IF(Instructions!$C$39="Yes",IF('Red'!A34="","",'Red'!A34),"")</x:f>
        <x:v>Quincy</x:v>
      </x:c>
      <x:c r="C71" s="8" t="str">
        <x:f>IF(Instructions!$C$39="Yes",IF('Red'!B34="","",'Red'!B34),"")</x:f>
        <x:v>Not opened</x:v>
      </x:c>
      <x:c r="D71" s="18" t="str">
        <x:f>IF(Instructions!$C$39="Yes",IF('Red'!C34="","",'Red'!C34),"")</x:f>
      </x:c>
      <x:c r="E71" s="20" t="str">
        <x:f>IF(Instructions!$C$39="Yes",IF('Red'!G34="","",'Red'!G34),"")</x:f>
        <x:v>quincy</x:v>
      </x:c>
      <x:c r="F71" t="str">
        <x:f>IF(Instructions!$C$39="Yes",'Red'!H34,"")</x:f>
        <x:v>team-2</x:v>
      </x:c>
    </x:row>
    <x:row r="72" ht="24" customHeight="1">
      <x:c r="A72" s="8" t="str">
        <x:f>IF(Instructions!$C$39="Yes",IF('Red'!F35="","",'Red'!F35),"")</x:f>
        <x:v>Red</x:v>
      </x:c>
      <x:c r="B72" s="8" t="str">
        <x:f>IF(Instructions!$C$39="Yes",IF('Red'!A35="","",'Red'!A35),"")</x:f>
        <x:v>Braintree</x:v>
      </x:c>
      <x:c r="C72" s="8" t="str">
        <x:f>IF(Instructions!$C$39="Yes",IF('Red'!B35="","",'Red'!B35),"")</x:f>
        <x:v>Not opened</x:v>
      </x:c>
      <x:c r="D72" s="18" t="str">
        <x:f>IF(Instructions!$C$39="Yes",IF('Red'!C35="","",'Red'!C35),"")</x:f>
      </x:c>
      <x:c r="E72" s="20" t="str">
        <x:f>IF(Instructions!$C$39="Yes",IF('Red'!G35="","",'Red'!G35),"")</x:f>
        <x:v>braintree</x:v>
      </x:c>
      <x:c r="F72" t="str">
        <x:f>IF(Instructions!$C$39="Yes",'Red'!H35,"")</x:f>
        <x:v>team-2</x:v>
      </x:c>
    </x:row>
    <x:row r="73" ht="24" customHeight="1">
      <x:c r="A73" s="8" t="str">
        <x:f>IF(Instructions!$C$39="Yes",IF('Red'!F36="","",'Red'!F36),"")</x:f>
        <x:v>Red</x:v>
      </x:c>
      <x:c r="B73" s="8" t="str">
        <x:f>IF(Instructions!$C$39="Yes",IF('Red'!A36="","",'Red'!A36),"")</x:f>
        <x:v>Winthrop</x:v>
      </x:c>
      <x:c r="C73" s="8" t="str">
        <x:f>IF(Instructions!$C$39="Yes",IF('Red'!B36="","",'Red'!B36),"")</x:f>
        <x:v>Not opened</x:v>
      </x:c>
      <x:c r="D73" s="18" t="str">
        <x:f>IF(Instructions!$C$39="Yes",IF('Red'!C36="","",'Red'!C36),"")</x:f>
      </x:c>
      <x:c r="E73" s="20" t="str">
        <x:f>IF(Instructions!$C$39="Yes",IF('Red'!G36="","",'Red'!G36),"")</x:f>
        <x:v>winthrop</x:v>
      </x:c>
      <x:c r="F73" t="str">
        <x:f>IF(Instructions!$C$39="Yes",'Red'!H36,"")</x:f>
        <x:v>team-2</x:v>
      </x:c>
    </x:row>
    <x:row r="74" ht="24" customHeight="1">
      <x:c r="A74" s="8" t="str">
        <x:f>IF(Instructions!$C$39="Yes",IF('Red'!F37="","",'Red'!F37),"")</x:f>
        <x:v>Red</x:v>
      </x:c>
      <x:c r="B74" s="8" t="str">
        <x:f>IF(Instructions!$C$39="Yes",IF('Red'!A37="","",'Red'!A37),"")</x:f>
        <x:v>Milton</x:v>
      </x:c>
      <x:c r="C74" s="8" t="str">
        <x:f>IF(Instructions!$C$39="Yes",IF('Red'!B37="","",'Red'!B37),"")</x:f>
        <x:v>Not opened</x:v>
      </x:c>
      <x:c r="D74" s="18" t="str">
        <x:f>IF(Instructions!$C$39="Yes",IF('Red'!C37="","",'Red'!C37),"")</x:f>
      </x:c>
      <x:c r="E74" s="20" t="str">
        <x:f>IF(Instructions!$C$39="Yes",IF('Red'!G37="","",'Red'!G37),"")</x:f>
        <x:v>milton</x:v>
      </x:c>
      <x:c r="F74" t="str">
        <x:f>IF(Instructions!$C$39="Yes",'Red'!H37,"")</x:f>
        <x:v>team-2</x:v>
      </x:c>
    </x:row>
    <x:row r="75" ht="24" customHeight="1">
      <x:c r="A75" s="8" t="str">
        <x:f>IF(Instructions!$C$39="Yes",IF('Red'!F38="","",'Red'!F38),"")</x:f>
        <x:v>Red</x:v>
      </x:c>
      <x:c r="B75" s="8" t="str">
        <x:f>IF(Instructions!$C$39="Yes",IF('Red'!A38="","",'Red'!A38),"")</x:f>
        <x:v>Longwood</x:v>
      </x:c>
      <x:c r="C75" s="8" t="str">
        <x:f>IF(Instructions!$C$39="Yes",IF('Red'!B38="","",'Red'!B38),"")</x:f>
        <x:v>Not opened</x:v>
      </x:c>
      <x:c r="D75" s="18" t="str">
        <x:f>IF(Instructions!$C$39="Yes",IF('Red'!C38="","",'Red'!C38),"")</x:f>
      </x:c>
      <x:c r="E75" s="20" t="str">
        <x:f>IF(Instructions!$C$39="Yes",IF('Red'!G38="","",'Red'!G38),"")</x:f>
        <x:v>longwood</x:v>
      </x:c>
      <x:c r="F75" t="str">
        <x:f>IF(Instructions!$C$39="Yes",'Red'!H38,"")</x:f>
        <x:v>team-2</x:v>
      </x:c>
    </x:row>
    <x:row r="76" ht="24" customHeight="1">
      <x:c r="A76" s="8" t="str">
        <x:f>IF(Instructions!$C$41="Yes",IF('Green'!F2="","",'Green'!F2),"")</x:f>
        <x:v>Green</x:v>
      </x:c>
      <x:c r="B76" s="8" t="str">
        <x:f>IF(Instructions!$C$41="Yes",IF('Green'!A2="","",'Green'!A2),"")</x:f>
        <x:v>Allston</x:v>
      </x:c>
      <x:c r="C76" s="8" t="str">
        <x:f>IF(Instructions!$C$41="Yes",IF('Green'!B2="","",'Green'!B2),"")</x:f>
        <x:v>Not opened</x:v>
      </x:c>
      <x:c r="D76" s="18" t="str">
        <x:f>IF(Instructions!$C$41="Yes",IF('Green'!C2="","",'Green'!C2),"")</x:f>
      </x:c>
      <x:c r="E76" s="20" t="str">
        <x:f>IF(Instructions!$C$41="Yes",IF('Green'!G2="","",'Green'!G2),"")</x:f>
        <x:v>allston</x:v>
      </x:c>
      <x:c r="F76" t="str">
        <x:f>IF(Instructions!$C$41="Yes",'Green'!H2,"")</x:f>
        <x:v>team-3</x:v>
      </x:c>
    </x:row>
    <x:row r="77" ht="24" customHeight="1">
      <x:c r="A77" s="8" t="str">
        <x:f>IF(Instructions!$C$41="Yes",IF('Green'!F3="","",'Green'!F3),"")</x:f>
        <x:v>Green</x:v>
      </x:c>
      <x:c r="B77" s="8" t="str">
        <x:f>IF(Instructions!$C$41="Yes",IF('Green'!A3="","",'Green'!A3),"")</x:f>
        <x:v>Back Bay</x:v>
      </x:c>
      <x:c r="C77" s="8" t="str">
        <x:f>IF(Instructions!$C$41="Yes",IF('Green'!B3="","",'Green'!B3),"")</x:f>
        <x:v>Not opened</x:v>
      </x:c>
      <x:c r="D77" s="18" t="str">
        <x:f>IF(Instructions!$C$41="Yes",IF('Green'!C3="","",'Green'!C3),"")</x:f>
      </x:c>
      <x:c r="E77" s="20" t="str">
        <x:f>IF(Instructions!$C$41="Yes",IF('Green'!G3="","",'Green'!G3),"")</x:f>
        <x:v>back-bay</x:v>
      </x:c>
      <x:c r="F77" t="str">
        <x:f>IF(Instructions!$C$41="Yes",'Green'!H3,"")</x:f>
        <x:v>team-3</x:v>
      </x:c>
    </x:row>
    <x:row r="78" ht="24" customHeight="1">
      <x:c r="A78" s="8" t="str">
        <x:f>IF(Instructions!$C$41="Yes",IF('Green'!F4="","",'Green'!F4),"")</x:f>
        <x:v>Green</x:v>
      </x:c>
      <x:c r="B78" s="8" t="str">
        <x:f>IF(Instructions!$C$41="Yes",IF('Green'!A4="","",'Green'!A4),"")</x:f>
        <x:v>Bay Village</x:v>
      </x:c>
      <x:c r="C78" s="8" t="str">
        <x:f>IF(Instructions!$C$41="Yes",IF('Green'!B4="","",'Green'!B4),"")</x:f>
        <x:v>Not opened</x:v>
      </x:c>
      <x:c r="D78" s="18" t="str">
        <x:f>IF(Instructions!$C$41="Yes",IF('Green'!C4="","",'Green'!C4),"")</x:f>
      </x:c>
      <x:c r="E78" s="20" t="str">
        <x:f>IF(Instructions!$C$41="Yes",IF('Green'!G4="","",'Green'!G4),"")</x:f>
        <x:v>bay-village</x:v>
      </x:c>
      <x:c r="F78" t="str">
        <x:f>IF(Instructions!$C$41="Yes",'Green'!H4,"")</x:f>
        <x:v>team-3</x:v>
      </x:c>
    </x:row>
    <x:row r="79" ht="24" customHeight="1">
      <x:c r="A79" s="8" t="str">
        <x:f>IF(Instructions!$C$41="Yes",IF('Green'!F5="","",'Green'!F5),"")</x:f>
        <x:v>Green</x:v>
      </x:c>
      <x:c r="B79" s="8" t="str">
        <x:f>IF(Instructions!$C$41="Yes",IF('Green'!A5="","",'Green'!A5),"")</x:f>
        <x:v>Beacon Hill</x:v>
      </x:c>
      <x:c r="C79" s="8" t="str">
        <x:f>IF(Instructions!$C$41="Yes",IF('Green'!B5="","",'Green'!B5),"")</x:f>
        <x:v>Not opened</x:v>
      </x:c>
      <x:c r="D79" s="18" t="str">
        <x:f>IF(Instructions!$C$41="Yes",IF('Green'!C5="","",'Green'!C5),"")</x:f>
      </x:c>
      <x:c r="E79" s="20" t="str">
        <x:f>IF(Instructions!$C$41="Yes",IF('Green'!G5="","",'Green'!G5),"")</x:f>
        <x:v>beacon-hill</x:v>
      </x:c>
      <x:c r="F79" t="str">
        <x:f>IF(Instructions!$C$41="Yes",'Green'!H5,"")</x:f>
        <x:v>team-3</x:v>
      </x:c>
    </x:row>
    <x:row r="80" ht="24" customHeight="1">
      <x:c r="A80" s="8" t="str">
        <x:f>IF(Instructions!$C$41="Yes",IF('Green'!F6="","",'Green'!F6),"")</x:f>
        <x:v>Green</x:v>
      </x:c>
      <x:c r="B80" s="8" t="str">
        <x:f>IF(Instructions!$C$41="Yes",IF('Green'!A6="","",'Green'!A6),"")</x:f>
        <x:v>Brighton</x:v>
      </x:c>
      <x:c r="C80" s="8" t="str">
        <x:f>IF(Instructions!$C$41="Yes",IF('Green'!B6="","",'Green'!B6),"")</x:f>
        <x:v>Not opened</x:v>
      </x:c>
      <x:c r="D80" s="18" t="str">
        <x:f>IF(Instructions!$C$41="Yes",IF('Green'!C6="","",'Green'!C6),"")</x:f>
      </x:c>
      <x:c r="E80" s="20" t="str">
        <x:f>IF(Instructions!$C$41="Yes",IF('Green'!G6="","",'Green'!G6),"")</x:f>
        <x:v>brighton</x:v>
      </x:c>
      <x:c r="F80" t="str">
        <x:f>IF(Instructions!$C$41="Yes",'Green'!H6,"")</x:f>
        <x:v>team-3</x:v>
      </x:c>
    </x:row>
    <x:row r="81" ht="24" customHeight="1">
      <x:c r="A81" s="8" t="str">
        <x:f>IF(Instructions!$C$41="Yes",IF('Green'!F7="","",'Green'!F7),"")</x:f>
        <x:v>Green</x:v>
      </x:c>
      <x:c r="B81" s="8" t="str">
        <x:f>IF(Instructions!$C$41="Yes",IF('Green'!A7="","",'Green'!A7),"")</x:f>
        <x:v>Charlestown</x:v>
      </x:c>
      <x:c r="C81" s="8" t="str">
        <x:f>IF(Instructions!$C$41="Yes",IF('Green'!B7="","",'Green'!B7),"")</x:f>
        <x:v>Not opened</x:v>
      </x:c>
      <x:c r="D81" s="18" t="str">
        <x:f>IF(Instructions!$C$41="Yes",IF('Green'!C7="","",'Green'!C7),"")</x:f>
      </x:c>
      <x:c r="E81" s="20" t="str">
        <x:f>IF(Instructions!$C$41="Yes",IF('Green'!G7="","",'Green'!G7),"")</x:f>
        <x:v>charlestown</x:v>
      </x:c>
      <x:c r="F81" t="str">
        <x:f>IF(Instructions!$C$41="Yes",'Green'!H7,"")</x:f>
        <x:v>team-3</x:v>
      </x:c>
    </x:row>
    <x:row r="82" ht="24" customHeight="1">
      <x:c r="A82" s="8" t="str">
        <x:f>IF(Instructions!$C$41="Yes",IF('Green'!F8="","",'Green'!F8),"")</x:f>
        <x:v>Green</x:v>
      </x:c>
      <x:c r="B82" s="8" t="str">
        <x:f>IF(Instructions!$C$41="Yes",IF('Green'!A8="","",'Green'!A8),"")</x:f>
        <x:v>Chinatown</x:v>
      </x:c>
      <x:c r="C82" s="8" t="str">
        <x:f>IF(Instructions!$C$41="Yes",IF('Green'!B8="","",'Green'!B8),"")</x:f>
        <x:v>Not opened</x:v>
      </x:c>
      <x:c r="D82" s="18" t="str">
        <x:f>IF(Instructions!$C$41="Yes",IF('Green'!C8="","",'Green'!C8),"")</x:f>
      </x:c>
      <x:c r="E82" s="20" t="str">
        <x:f>IF(Instructions!$C$41="Yes",IF('Green'!G8="","",'Green'!G8),"")</x:f>
        <x:v>chinatown-leather-district</x:v>
      </x:c>
      <x:c r="F82" t="str">
        <x:f>IF(Instructions!$C$41="Yes",'Green'!H8,"")</x:f>
        <x:v>team-3</x:v>
      </x:c>
    </x:row>
    <x:row r="83" ht="24" customHeight="1">
      <x:c r="A83" s="8" t="str">
        <x:f>IF(Instructions!$C$41="Yes",IF('Green'!F9="","",'Green'!F9),"")</x:f>
        <x:v>Green</x:v>
      </x:c>
      <x:c r="B83" s="8" t="str">
        <x:f>IF(Instructions!$C$41="Yes",IF('Green'!A9="","",'Green'!A9),"")</x:f>
        <x:v>Dorchester</x:v>
      </x:c>
      <x:c r="C83" s="8" t="str">
        <x:f>IF(Instructions!$C$41="Yes",IF('Green'!B9="","",'Green'!B9),"")</x:f>
        <x:v>Not opened</x:v>
      </x:c>
      <x:c r="D83" s="18" t="str">
        <x:f>IF(Instructions!$C$41="Yes",IF('Green'!C9="","",'Green'!C9),"")</x:f>
      </x:c>
      <x:c r="E83" s="20" t="str">
        <x:f>IF(Instructions!$C$41="Yes",IF('Green'!G9="","",'Green'!G9),"")</x:f>
        <x:v>dorchester</x:v>
      </x:c>
      <x:c r="F83" t="str">
        <x:f>IF(Instructions!$C$41="Yes",'Green'!H9,"")</x:f>
        <x:v>team-3</x:v>
      </x:c>
    </x:row>
    <x:row r="84" ht="24" customHeight="1">
      <x:c r="A84" s="8" t="str">
        <x:f>IF(Instructions!$C$41="Yes",IF('Green'!F10="","",'Green'!F10),"")</x:f>
        <x:v>Green</x:v>
      </x:c>
      <x:c r="B84" s="8" t="str">
        <x:f>IF(Instructions!$C$41="Yes",IF('Green'!A10="","",'Green'!A10),"")</x:f>
        <x:v>Downtown</x:v>
      </x:c>
      <x:c r="C84" s="8" t="str">
        <x:f>IF(Instructions!$C$41="Yes",IF('Green'!B10="","",'Green'!B10),"")</x:f>
        <x:v>Not opened</x:v>
      </x:c>
      <x:c r="D84" s="18" t="str">
        <x:f>IF(Instructions!$C$41="Yes",IF('Green'!C10="","",'Green'!C10),"")</x:f>
      </x:c>
      <x:c r="E84" s="20" t="str">
        <x:f>IF(Instructions!$C$41="Yes",IF('Green'!G10="","",'Green'!G10),"")</x:f>
        <x:v>downtown</x:v>
      </x:c>
      <x:c r="F84" t="str">
        <x:f>IF(Instructions!$C$41="Yes",'Green'!H10,"")</x:f>
        <x:v>team-3</x:v>
      </x:c>
    </x:row>
    <x:row r="85" ht="24" customHeight="1">
      <x:c r="A85" s="8" t="str">
        <x:f>IF(Instructions!$C$41="Yes",IF('Green'!F11="","",'Green'!F11),"")</x:f>
        <x:v>Green</x:v>
      </x:c>
      <x:c r="B85" s="8" t="str">
        <x:f>IF(Instructions!$C$41="Yes",IF('Green'!A11="","",'Green'!A11),"")</x:f>
        <x:v>East Boston</x:v>
      </x:c>
      <x:c r="C85" s="8" t="str">
        <x:f>IF(Instructions!$C$41="Yes",IF('Green'!B11="","",'Green'!B11),"")</x:f>
        <x:v>Not opened</x:v>
      </x:c>
      <x:c r="D85" s="18" t="str">
        <x:f>IF(Instructions!$C$41="Yes",IF('Green'!C11="","",'Green'!C11),"")</x:f>
      </x:c>
      <x:c r="E85" s="20" t="str">
        <x:f>IF(Instructions!$C$41="Yes",IF('Green'!G11="","",'Green'!G11),"")</x:f>
        <x:v>east-boston</x:v>
      </x:c>
      <x:c r="F85" t="str">
        <x:f>IF(Instructions!$C$41="Yes",'Green'!H11,"")</x:f>
        <x:v>team-3</x:v>
      </x:c>
    </x:row>
    <x:row r="86" ht="24" customHeight="1">
      <x:c r="A86" s="8" t="str">
        <x:f>IF(Instructions!$C$41="Yes",IF('Green'!F12="","",'Green'!F12),"")</x:f>
        <x:v>Green</x:v>
      </x:c>
      <x:c r="B86" s="8" t="str">
        <x:f>IF(Instructions!$C$41="Yes",IF('Green'!A12="","",'Green'!A12),"")</x:f>
        <x:v>Fenway–Kenmore</x:v>
      </x:c>
      <x:c r="C86" s="8" t="str">
        <x:f>IF(Instructions!$C$41="Yes",IF('Green'!B12="","",'Green'!B12),"")</x:f>
        <x:v>Not opened</x:v>
      </x:c>
      <x:c r="D86" s="18" t="str">
        <x:f>IF(Instructions!$C$41="Yes",IF('Green'!C12="","",'Green'!C12),"")</x:f>
      </x:c>
      <x:c r="E86" s="20" t="str">
        <x:f>IF(Instructions!$C$41="Yes",IF('Green'!G12="","",'Green'!G12),"")</x:f>
        <x:v>fenway-kenmore</x:v>
      </x:c>
      <x:c r="F86" t="str">
        <x:f>IF(Instructions!$C$41="Yes",'Green'!H12,"")</x:f>
        <x:v>team-3</x:v>
      </x:c>
    </x:row>
    <x:row r="87" ht="24" customHeight="1">
      <x:c r="A87" s="8" t="str">
        <x:f>IF(Instructions!$C$41="Yes",IF('Green'!F13="","",'Green'!F13),"")</x:f>
        <x:v>Green</x:v>
      </x:c>
      <x:c r="B87" s="8" t="str">
        <x:f>IF(Instructions!$C$41="Yes",IF('Green'!A13="","",'Green'!A13),"")</x:f>
        <x:v>Hyde Park</x:v>
      </x:c>
      <x:c r="C87" s="8" t="str">
        <x:f>IF(Instructions!$C$41="Yes",IF('Green'!B13="","",'Green'!B13),"")</x:f>
        <x:v>Not opened</x:v>
      </x:c>
      <x:c r="D87" s="18" t="str">
        <x:f>IF(Instructions!$C$41="Yes",IF('Green'!C13="","",'Green'!C13),"")</x:f>
      </x:c>
      <x:c r="E87" s="20" t="str">
        <x:f>IF(Instructions!$C$41="Yes",IF('Green'!G13="","",'Green'!G13),"")</x:f>
        <x:v>hyde-park</x:v>
      </x:c>
      <x:c r="F87" t="str">
        <x:f>IF(Instructions!$C$41="Yes",'Green'!H13,"")</x:f>
        <x:v>team-3</x:v>
      </x:c>
    </x:row>
    <x:row r="88" ht="24" customHeight="1">
      <x:c r="A88" s="8" t="str">
        <x:f>IF(Instructions!$C$41="Yes",IF('Green'!F14="","",'Green'!F14),"")</x:f>
        <x:v>Green</x:v>
      </x:c>
      <x:c r="B88" s="8" t="str">
        <x:f>IF(Instructions!$C$41="Yes",IF('Green'!A14="","",'Green'!A14),"")</x:f>
        <x:v>Jamaica Plain</x:v>
      </x:c>
      <x:c r="C88" s="8" t="str">
        <x:f>IF(Instructions!$C$41="Yes",IF('Green'!B14="","",'Green'!B14),"")</x:f>
        <x:v>Not opened</x:v>
      </x:c>
      <x:c r="D88" s="18" t="str">
        <x:f>IF(Instructions!$C$41="Yes",IF('Green'!C14="","",'Green'!C14),"")</x:f>
      </x:c>
      <x:c r="E88" s="20" t="str">
        <x:f>IF(Instructions!$C$41="Yes",IF('Green'!G14="","",'Green'!G14),"")</x:f>
        <x:v>jamaica-plain</x:v>
      </x:c>
      <x:c r="F88" t="str">
        <x:f>IF(Instructions!$C$41="Yes",'Green'!H14,"")</x:f>
        <x:v>team-3</x:v>
      </x:c>
    </x:row>
    <x:row r="89" ht="24" customHeight="1">
      <x:c r="A89" s="8" t="str">
        <x:f>IF(Instructions!$C$41="Yes",IF('Green'!F15="","",'Green'!F15),"")</x:f>
        <x:v>Green</x:v>
      </x:c>
      <x:c r="B89" s="8" t="str">
        <x:f>IF(Instructions!$C$41="Yes",IF('Green'!A15="","",'Green'!A15),"")</x:f>
        <x:v>Mattapan</x:v>
      </x:c>
      <x:c r="C89" s="8" t="str">
        <x:f>IF(Instructions!$C$41="Yes",IF('Green'!B15="","",'Green'!B15),"")</x:f>
        <x:v>Not opened</x:v>
      </x:c>
      <x:c r="D89" s="18" t="str">
        <x:f>IF(Instructions!$C$41="Yes",IF('Green'!C15="","",'Green'!C15),"")</x:f>
      </x:c>
      <x:c r="E89" s="20" t="str">
        <x:f>IF(Instructions!$C$41="Yes",IF('Green'!G15="","",'Green'!G15),"")</x:f>
        <x:v>mattapan</x:v>
      </x:c>
      <x:c r="F89" t="str">
        <x:f>IF(Instructions!$C$41="Yes",'Green'!H15,"")</x:f>
        <x:v>team-3</x:v>
      </x:c>
    </x:row>
    <x:row r="90" ht="24" customHeight="1">
      <x:c r="A90" s="8" t="str">
        <x:f>IF(Instructions!$C$41="Yes",IF('Green'!F16="","",'Green'!F16),"")</x:f>
        <x:v>Green</x:v>
      </x:c>
      <x:c r="B90" s="8" t="str">
        <x:f>IF(Instructions!$C$41="Yes",IF('Green'!A16="","",'Green'!A16),"")</x:f>
        <x:v>Mission Hill</x:v>
      </x:c>
      <x:c r="C90" s="8" t="str">
        <x:f>IF(Instructions!$C$41="Yes",IF('Green'!B16="","",'Green'!B16),"")</x:f>
        <x:v>Not opened</x:v>
      </x:c>
      <x:c r="D90" s="18" t="str">
        <x:f>IF(Instructions!$C$41="Yes",IF('Green'!C16="","",'Green'!C16),"")</x:f>
      </x:c>
      <x:c r="E90" s="20" t="str">
        <x:f>IF(Instructions!$C$41="Yes",IF('Green'!G16="","",'Green'!G16),"")</x:f>
        <x:v>mission-hill</x:v>
      </x:c>
      <x:c r="F90" t="str">
        <x:f>IF(Instructions!$C$41="Yes",'Green'!H16,"")</x:f>
        <x:v>team-3</x:v>
      </x:c>
    </x:row>
    <x:row r="91" ht="24" customHeight="1">
      <x:c r="A91" s="8" t="str">
        <x:f>IF(Instructions!$C$41="Yes",IF('Green'!F17="","",'Green'!F17),"")</x:f>
        <x:v>Green</x:v>
      </x:c>
      <x:c r="B91" s="8" t="str">
        <x:f>IF(Instructions!$C$41="Yes",IF('Green'!A17="","",'Green'!A17),"")</x:f>
        <x:v>North End</x:v>
      </x:c>
      <x:c r="C91" s="8" t="str">
        <x:f>IF(Instructions!$C$41="Yes",IF('Green'!B17="","",'Green'!B17),"")</x:f>
        <x:v>Not opened</x:v>
      </x:c>
      <x:c r="D91" s="18" t="str">
        <x:f>IF(Instructions!$C$41="Yes",IF('Green'!C17="","",'Green'!C17),"")</x:f>
      </x:c>
      <x:c r="E91" s="20" t="str">
        <x:f>IF(Instructions!$C$41="Yes",IF('Green'!G17="","",'Green'!G17),"")</x:f>
        <x:v>north-end</x:v>
      </x:c>
      <x:c r="F91" t="str">
        <x:f>IF(Instructions!$C$41="Yes",'Green'!H17,"")</x:f>
        <x:v>team-3</x:v>
      </x:c>
    </x:row>
    <x:row r="92" ht="24" customHeight="1">
      <x:c r="A92" s="8" t="str">
        <x:f>IF(Instructions!$C$41="Yes",IF('Green'!F18="","",'Green'!F18),"")</x:f>
        <x:v>Green</x:v>
      </x:c>
      <x:c r="B92" s="8" t="str">
        <x:f>IF(Instructions!$C$41="Yes",IF('Green'!A18="","",'Green'!A18),"")</x:f>
        <x:v>Roslindale</x:v>
      </x:c>
      <x:c r="C92" s="8" t="str">
        <x:f>IF(Instructions!$C$41="Yes",IF('Green'!B18="","",'Green'!B18),"")</x:f>
        <x:v>Not opened</x:v>
      </x:c>
      <x:c r="D92" s="18" t="str">
        <x:f>IF(Instructions!$C$41="Yes",IF('Green'!C18="","",'Green'!C18),"")</x:f>
      </x:c>
      <x:c r="E92" s="20" t="str">
        <x:f>IF(Instructions!$C$41="Yes",IF('Green'!G18="","",'Green'!G18),"")</x:f>
        <x:v>roslindale</x:v>
      </x:c>
      <x:c r="F92" t="str">
        <x:f>IF(Instructions!$C$41="Yes",'Green'!H18,"")</x:f>
        <x:v>team-3</x:v>
      </x:c>
    </x:row>
    <x:row r="93" ht="24" customHeight="1">
      <x:c r="A93" s="8" t="str">
        <x:f>IF(Instructions!$C$41="Yes",IF('Green'!F19="","",'Green'!F19),"")</x:f>
        <x:v>Green</x:v>
      </x:c>
      <x:c r="B93" s="8" t="str">
        <x:f>IF(Instructions!$C$41="Yes",IF('Green'!A19="","",'Green'!A19),"")</x:f>
        <x:v>Roxbury</x:v>
      </x:c>
      <x:c r="C93" s="8" t="str">
        <x:f>IF(Instructions!$C$41="Yes",IF('Green'!B19="","",'Green'!B19),"")</x:f>
        <x:v>Not opened</x:v>
      </x:c>
      <x:c r="D93" s="18" t="str">
        <x:f>IF(Instructions!$C$41="Yes",IF('Green'!C19="","",'Green'!C19),"")</x:f>
      </x:c>
      <x:c r="E93" s="20" t="str">
        <x:f>IF(Instructions!$C$41="Yes",IF('Green'!G19="","",'Green'!G19),"")</x:f>
        <x:v>roxbury</x:v>
      </x:c>
      <x:c r="F93" t="str">
        <x:f>IF(Instructions!$C$41="Yes",'Green'!H19,"")</x:f>
        <x:v>team-3</x:v>
      </x:c>
    </x:row>
    <x:row r="94" ht="24" customHeight="1">
      <x:c r="A94" s="8" t="str">
        <x:f>IF(Instructions!$C$41="Yes",IF('Green'!F20="","",'Green'!F20),"")</x:f>
        <x:v>Green</x:v>
      </x:c>
      <x:c r="B94" s="8" t="str">
        <x:f>IF(Instructions!$C$41="Yes",IF('Green'!A20="","",'Green'!A20),"")</x:f>
        <x:v>South Boston</x:v>
      </x:c>
      <x:c r="C94" s="8" t="str">
        <x:f>IF(Instructions!$C$41="Yes",IF('Green'!B20="","",'Green'!B20),"")</x:f>
        <x:v>Not opened</x:v>
      </x:c>
      <x:c r="D94" s="18" t="str">
        <x:f>IF(Instructions!$C$41="Yes",IF('Green'!C20="","",'Green'!C20),"")</x:f>
      </x:c>
      <x:c r="E94" s="20" t="str">
        <x:f>IF(Instructions!$C$41="Yes",IF('Green'!G20="","",'Green'!G20),"")</x:f>
        <x:v>south-boston</x:v>
      </x:c>
      <x:c r="F94" t="str">
        <x:f>IF(Instructions!$C$41="Yes",'Green'!H20,"")</x:f>
        <x:v>team-3</x:v>
      </x:c>
    </x:row>
    <x:row r="95" ht="24" customHeight="1">
      <x:c r="A95" s="8" t="str">
        <x:f>IF(Instructions!$C$41="Yes",IF('Green'!F21="","",'Green'!F21),"")</x:f>
        <x:v>Green</x:v>
      </x:c>
      <x:c r="B95" s="8" t="str">
        <x:f>IF(Instructions!$C$41="Yes",IF('Green'!A21="","",'Green'!A21),"")</x:f>
        <x:v>South End</x:v>
      </x:c>
      <x:c r="C95" s="8" t="str">
        <x:f>IF(Instructions!$C$41="Yes",IF('Green'!B21="","",'Green'!B21),"")</x:f>
        <x:v>Not opened</x:v>
      </x:c>
      <x:c r="D95" s="18" t="str">
        <x:f>IF(Instructions!$C$41="Yes",IF('Green'!C21="","",'Green'!C21),"")</x:f>
      </x:c>
      <x:c r="E95" s="20" t="str">
        <x:f>IF(Instructions!$C$41="Yes",IF('Green'!G21="","",'Green'!G21),"")</x:f>
        <x:v>south-end</x:v>
      </x:c>
      <x:c r="F95" t="str">
        <x:f>IF(Instructions!$C$41="Yes",'Green'!H21,"")</x:f>
        <x:v>team-3</x:v>
      </x:c>
    </x:row>
    <x:row r="96" ht="24" customHeight="1">
      <x:c r="A96" s="8" t="str">
        <x:f>IF(Instructions!$C$41="Yes",IF('Green'!F22="","",'Green'!F22),"")</x:f>
        <x:v>Green</x:v>
      </x:c>
      <x:c r="B96" s="8" t="str">
        <x:f>IF(Instructions!$C$41="Yes",IF('Green'!A22="","",'Green'!A22),"")</x:f>
        <x:v>West End</x:v>
      </x:c>
      <x:c r="C96" s="8" t="str">
        <x:f>IF(Instructions!$C$41="Yes",IF('Green'!B22="","",'Green'!B22),"")</x:f>
        <x:v>Not opened</x:v>
      </x:c>
      <x:c r="D96" s="18" t="str">
        <x:f>IF(Instructions!$C$41="Yes",IF('Green'!C22="","",'Green'!C22),"")</x:f>
      </x:c>
      <x:c r="E96" s="20" t="str">
        <x:f>IF(Instructions!$C$41="Yes",IF('Green'!G22="","",'Green'!G22),"")</x:f>
        <x:v>west-end</x:v>
      </x:c>
      <x:c r="F96" t="str">
        <x:f>IF(Instructions!$C$41="Yes",'Green'!H22,"")</x:f>
        <x:v>team-3</x:v>
      </x:c>
    </x:row>
    <x:row r="97" ht="24" customHeight="1">
      <x:c r="A97" s="8" t="str">
        <x:f>IF(Instructions!$C$41="Yes",IF('Green'!F23="","",'Green'!F23),"")</x:f>
        <x:v>Green</x:v>
      </x:c>
      <x:c r="B97" s="8" t="str">
        <x:f>IF(Instructions!$C$41="Yes",IF('Green'!A23="","",'Green'!A23),"")</x:f>
        <x:v>West Roxbury</x:v>
      </x:c>
      <x:c r="C97" s="8" t="str">
        <x:f>IF(Instructions!$C$41="Yes",IF('Green'!B23="","",'Green'!B23),"")</x:f>
        <x:v>Not opened</x:v>
      </x:c>
      <x:c r="D97" s="18" t="str">
        <x:f>IF(Instructions!$C$41="Yes",IF('Green'!C23="","",'Green'!C23),"")</x:f>
      </x:c>
      <x:c r="E97" s="20" t="str">
        <x:f>IF(Instructions!$C$41="Yes",IF('Green'!G23="","",'Green'!G23),"")</x:f>
        <x:v>west-roxbury</x:v>
      </x:c>
      <x:c r="F97" t="str">
        <x:f>IF(Instructions!$C$41="Yes",'Green'!H23,"")</x:f>
        <x:v>team-3</x:v>
      </x:c>
    </x:row>
    <x:row r="98" ht="24" customHeight="1">
      <x:c r="A98" s="8" t="str">
        <x:f>IF(Instructions!$C$41="Yes",IF('Green'!F24="","",'Green'!F24),"")</x:f>
        <x:v>Green</x:v>
      </x:c>
      <x:c r="B98" s="8" t="str">
        <x:f>IF(Instructions!$C$41="Yes",IF('Green'!A24="","",'Green'!A24),"")</x:f>
        <x:v>Seaport</x:v>
      </x:c>
      <x:c r="C98" s="8" t="str">
        <x:f>IF(Instructions!$C$41="Yes",IF('Green'!B24="","",'Green'!B24),"")</x:f>
        <x:v>Not opened</x:v>
      </x:c>
      <x:c r="D98" s="18" t="str">
        <x:f>IF(Instructions!$C$41="Yes",IF('Green'!C24="","",'Green'!C24),"")</x:f>
      </x:c>
      <x:c r="E98" s="20" t="str">
        <x:f>IF(Instructions!$C$41="Yes",IF('Green'!G24="","",'Green'!G24),"")</x:f>
        <x:v>seaport</x:v>
      </x:c>
      <x:c r="F98" t="str">
        <x:f>IF(Instructions!$C$41="Yes",'Green'!H24,"")</x:f>
        <x:v>team-3</x:v>
      </x:c>
    </x:row>
    <x:row r="99" ht="24" customHeight="1">
      <x:c r="A99" s="8" t="str">
        <x:f>IF(Instructions!$C$41="Yes",IF('Green'!F25="","",'Green'!F25),"")</x:f>
        <x:v>Green</x:v>
      </x:c>
      <x:c r="B99" s="8" t="str">
        <x:f>IF(Instructions!$C$41="Yes",IF('Green'!A25="","",'Green'!A25),"")</x:f>
        <x:v>Cambridge</x:v>
      </x:c>
      <x:c r="C99" s="8" t="str">
        <x:f>IF(Instructions!$C$41="Yes",IF('Green'!B25="","",'Green'!B25),"")</x:f>
        <x:v>Not opened</x:v>
      </x:c>
      <x:c r="D99" s="18" t="str">
        <x:f>IF(Instructions!$C$41="Yes",IF('Green'!C25="","",'Green'!C25),"")</x:f>
      </x:c>
      <x:c r="E99" s="20" t="str">
        <x:f>IF(Instructions!$C$41="Yes",IF('Green'!G25="","",'Green'!G25),"")</x:f>
        <x:v>cambridge</x:v>
      </x:c>
      <x:c r="F99" t="str">
        <x:f>IF(Instructions!$C$41="Yes",'Green'!H25,"")</x:f>
        <x:v>team-3</x:v>
      </x:c>
    </x:row>
    <x:row r="100" ht="24" customHeight="1">
      <x:c r="A100" s="8" t="str">
        <x:f>IF(Instructions!$C$41="Yes",IF('Green'!F26="","",'Green'!F26),"")</x:f>
        <x:v>Green</x:v>
      </x:c>
      <x:c r="B100" s="8" t="str">
        <x:f>IF(Instructions!$C$41="Yes",IF('Green'!A26="","",'Green'!A26),"")</x:f>
        <x:v>Somerville</x:v>
      </x:c>
      <x:c r="C100" s="8" t="str">
        <x:f>IF(Instructions!$C$41="Yes",IF('Green'!B26="","",'Green'!B26),"")</x:f>
        <x:v>Not opened</x:v>
      </x:c>
      <x:c r="D100" s="18" t="str">
        <x:f>IF(Instructions!$C$41="Yes",IF('Green'!C26="","",'Green'!C26),"")</x:f>
      </x:c>
      <x:c r="E100" s="20" t="str">
        <x:f>IF(Instructions!$C$41="Yes",IF('Green'!G26="","",'Green'!G26),"")</x:f>
        <x:v>somerville</x:v>
      </x:c>
      <x:c r="F100" t="str">
        <x:f>IF(Instructions!$C$41="Yes",'Green'!H26,"")</x:f>
        <x:v>team-3</x:v>
      </x:c>
    </x:row>
    <x:row r="101" ht="24" customHeight="1">
      <x:c r="A101" s="8" t="str">
        <x:f>IF(Instructions!$C$41="Yes",IF('Green'!F27="","",'Green'!F27),"")</x:f>
        <x:v>Green</x:v>
      </x:c>
      <x:c r="B101" s="8" t="str">
        <x:f>IF(Instructions!$C$41="Yes",IF('Green'!A27="","",'Green'!A27),"")</x:f>
        <x:v>Everett</x:v>
      </x:c>
      <x:c r="C101" s="8" t="str">
        <x:f>IF(Instructions!$C$41="Yes",IF('Green'!B27="","",'Green'!B27),"")</x:f>
        <x:v>Not opened</x:v>
      </x:c>
      <x:c r="D101" s="18" t="str">
        <x:f>IF(Instructions!$C$41="Yes",IF('Green'!C27="","",'Green'!C27),"")</x:f>
      </x:c>
      <x:c r="E101" s="20" t="str">
        <x:f>IF(Instructions!$C$41="Yes",IF('Green'!G27="","",'Green'!G27),"")</x:f>
        <x:v>everett</x:v>
      </x:c>
      <x:c r="F101" t="str">
        <x:f>IF(Instructions!$C$41="Yes",'Green'!H27,"")</x:f>
        <x:v>team-3</x:v>
      </x:c>
    </x:row>
    <x:row r="102" ht="24" customHeight="1">
      <x:c r="A102" s="8" t="str">
        <x:f>IF(Instructions!$C$41="Yes",IF('Green'!F28="","",'Green'!F28),"")</x:f>
        <x:v>Green</x:v>
      </x:c>
      <x:c r="B102" s="8" t="str">
        <x:f>IF(Instructions!$C$41="Yes",IF('Green'!A28="","",'Green'!A28),"")</x:f>
        <x:v>Chelsea</x:v>
      </x:c>
      <x:c r="C102" s="8" t="str">
        <x:f>IF(Instructions!$C$41="Yes",IF('Green'!B28="","",'Green'!B28),"")</x:f>
        <x:v>Not opened</x:v>
      </x:c>
      <x:c r="D102" s="18" t="str">
        <x:f>IF(Instructions!$C$41="Yes",IF('Green'!C28="","",'Green'!C28),"")</x:f>
      </x:c>
      <x:c r="E102" s="20" t="str">
        <x:f>IF(Instructions!$C$41="Yes",IF('Green'!G28="","",'Green'!G28),"")</x:f>
        <x:v>chelsea</x:v>
      </x:c>
      <x:c r="F102" t="str">
        <x:f>IF(Instructions!$C$41="Yes",'Green'!H28,"")</x:f>
        <x:v>team-3</x:v>
      </x:c>
    </x:row>
    <x:row r="103" ht="24" customHeight="1">
      <x:c r="A103" s="8" t="str">
        <x:f>IF(Instructions!$C$41="Yes",IF('Green'!F29="","",'Green'!F29),"")</x:f>
        <x:v>Green</x:v>
      </x:c>
      <x:c r="B103" s="8" t="str">
        <x:f>IF(Instructions!$C$41="Yes",IF('Green'!A29="","",'Green'!A29),"")</x:f>
        <x:v>Revere</x:v>
      </x:c>
      <x:c r="C103" s="8" t="str">
        <x:f>IF(Instructions!$C$41="Yes",IF('Green'!B29="","",'Green'!B29),"")</x:f>
        <x:v>Not opened</x:v>
      </x:c>
      <x:c r="D103" s="18" t="str">
        <x:f>IF(Instructions!$C$41="Yes",IF('Green'!C29="","",'Green'!C29),"")</x:f>
      </x:c>
      <x:c r="E103" s="20" t="str">
        <x:f>IF(Instructions!$C$41="Yes",IF('Green'!G29="","",'Green'!G29),"")</x:f>
        <x:v>revere</x:v>
      </x:c>
      <x:c r="F103" t="str">
        <x:f>IF(Instructions!$C$41="Yes",'Green'!H29,"")</x:f>
        <x:v>team-3</x:v>
      </x:c>
    </x:row>
    <x:row r="104" ht="24" customHeight="1">
      <x:c r="A104" s="8" t="str">
        <x:f>IF(Instructions!$C$41="Yes",IF('Green'!F30="","",'Green'!F30),"")</x:f>
        <x:v>Green</x:v>
      </x:c>
      <x:c r="B104" s="8" t="str">
        <x:f>IF(Instructions!$C$41="Yes",IF('Green'!A30="","",'Green'!A30),"")</x:f>
        <x:v>Malden</x:v>
      </x:c>
      <x:c r="C104" s="8" t="str">
        <x:f>IF(Instructions!$C$41="Yes",IF('Green'!B30="","",'Green'!B30),"")</x:f>
        <x:v>Not opened</x:v>
      </x:c>
      <x:c r="D104" s="18" t="str">
        <x:f>IF(Instructions!$C$41="Yes",IF('Green'!C30="","",'Green'!C30),"")</x:f>
      </x:c>
      <x:c r="E104" s="20" t="str">
        <x:f>IF(Instructions!$C$41="Yes",IF('Green'!G30="","",'Green'!G30),"")</x:f>
        <x:v>malden</x:v>
      </x:c>
      <x:c r="F104" t="str">
        <x:f>IF(Instructions!$C$41="Yes",'Green'!H30,"")</x:f>
        <x:v>team-3</x:v>
      </x:c>
    </x:row>
    <x:row r="105" ht="24" customHeight="1">
      <x:c r="A105" s="8" t="str">
        <x:f>IF(Instructions!$C$41="Yes",IF('Green'!F31="","",'Green'!F31),"")</x:f>
        <x:v>Green</x:v>
      </x:c>
      <x:c r="B105" s="8" t="str">
        <x:f>IF(Instructions!$C$41="Yes",IF('Green'!A31="","",'Green'!A31),"")</x:f>
        <x:v>Medford</x:v>
      </x:c>
      <x:c r="C105" s="8" t="str">
        <x:f>IF(Instructions!$C$41="Yes",IF('Green'!B31="","",'Green'!B31),"")</x:f>
        <x:v>Not opened</x:v>
      </x:c>
      <x:c r="D105" s="18" t="str">
        <x:f>IF(Instructions!$C$41="Yes",IF('Green'!C31="","",'Green'!C31),"")</x:f>
      </x:c>
      <x:c r="E105" s="20" t="str">
        <x:f>IF(Instructions!$C$41="Yes",IF('Green'!G31="","",'Green'!G31),"")</x:f>
        <x:v>medford</x:v>
      </x:c>
      <x:c r="F105" t="str">
        <x:f>IF(Instructions!$C$41="Yes",'Green'!H31,"")</x:f>
        <x:v>team-3</x:v>
      </x:c>
    </x:row>
    <x:row r="106" ht="24" customHeight="1">
      <x:c r="A106" s="8" t="str">
        <x:f>IF(Instructions!$C$41="Yes",IF('Green'!F32="","",'Green'!F32),"")</x:f>
        <x:v>Green</x:v>
      </x:c>
      <x:c r="B106" s="8" t="str">
        <x:f>IF(Instructions!$C$41="Yes",IF('Green'!A32="","",'Green'!A32),"")</x:f>
        <x:v>Brookline</x:v>
      </x:c>
      <x:c r="C106" s="8" t="str">
        <x:f>IF(Instructions!$C$41="Yes",IF('Green'!B32="","",'Green'!B32),"")</x:f>
        <x:v>Not opened</x:v>
      </x:c>
      <x:c r="D106" s="18" t="str">
        <x:f>IF(Instructions!$C$41="Yes",IF('Green'!C32="","",'Green'!C32),"")</x:f>
      </x:c>
      <x:c r="E106" s="20" t="str">
        <x:f>IF(Instructions!$C$41="Yes",IF('Green'!G32="","",'Green'!G32),"")</x:f>
        <x:v>brookline</x:v>
      </x:c>
      <x:c r="F106" t="str">
        <x:f>IF(Instructions!$C$41="Yes",'Green'!H32,"")</x:f>
        <x:v>team-3</x:v>
      </x:c>
    </x:row>
    <x:row r="107" ht="24" customHeight="1">
      <x:c r="A107" s="8" t="str">
        <x:f>IF(Instructions!$C$41="Yes",IF('Green'!F33="","",'Green'!F33),"")</x:f>
        <x:v>Green</x:v>
      </x:c>
      <x:c r="B107" s="8" t="str">
        <x:f>IF(Instructions!$C$41="Yes",IF('Green'!A33="","",'Green'!A33),"")</x:f>
        <x:v>Newton</x:v>
      </x:c>
      <x:c r="C107" s="8" t="str">
        <x:f>IF(Instructions!$C$41="Yes",IF('Green'!B33="","",'Green'!B33),"")</x:f>
        <x:v>Not opened</x:v>
      </x:c>
      <x:c r="D107" s="18" t="str">
        <x:f>IF(Instructions!$C$41="Yes",IF('Green'!C33="","",'Green'!C33),"")</x:f>
      </x:c>
      <x:c r="E107" s="20" t="str">
        <x:f>IF(Instructions!$C$41="Yes",IF('Green'!G33="","",'Green'!G33),"")</x:f>
        <x:v>newton</x:v>
      </x:c>
      <x:c r="F107" t="str">
        <x:f>IF(Instructions!$C$41="Yes",'Green'!H33,"")</x:f>
        <x:v>team-3</x:v>
      </x:c>
    </x:row>
    <x:row r="108" ht="24" customHeight="1">
      <x:c r="A108" s="8" t="str">
        <x:f>IF(Instructions!$C$41="Yes",IF('Green'!F34="","",'Green'!F34),"")</x:f>
        <x:v>Green</x:v>
      </x:c>
      <x:c r="B108" s="8" t="str">
        <x:f>IF(Instructions!$C$41="Yes",IF('Green'!A34="","",'Green'!A34),"")</x:f>
        <x:v>Quincy</x:v>
      </x:c>
      <x:c r="C108" s="8" t="str">
        <x:f>IF(Instructions!$C$41="Yes",IF('Green'!B34="","",'Green'!B34),"")</x:f>
        <x:v>Not opened</x:v>
      </x:c>
      <x:c r="D108" s="18" t="str">
        <x:f>IF(Instructions!$C$41="Yes",IF('Green'!C34="","",'Green'!C34),"")</x:f>
      </x:c>
      <x:c r="E108" s="20" t="str">
        <x:f>IF(Instructions!$C$41="Yes",IF('Green'!G34="","",'Green'!G34),"")</x:f>
        <x:v>quincy</x:v>
      </x:c>
      <x:c r="F108" t="str">
        <x:f>IF(Instructions!$C$41="Yes",'Green'!H34,"")</x:f>
        <x:v>team-3</x:v>
      </x:c>
    </x:row>
    <x:row r="109" ht="24" customHeight="1">
      <x:c r="A109" s="8" t="str">
        <x:f>IF(Instructions!$C$41="Yes",IF('Green'!F35="","",'Green'!F35),"")</x:f>
        <x:v>Green</x:v>
      </x:c>
      <x:c r="B109" s="8" t="str">
        <x:f>IF(Instructions!$C$41="Yes",IF('Green'!A35="","",'Green'!A35),"")</x:f>
        <x:v>Braintree</x:v>
      </x:c>
      <x:c r="C109" s="8" t="str">
        <x:f>IF(Instructions!$C$41="Yes",IF('Green'!B35="","",'Green'!B35),"")</x:f>
        <x:v>Not opened</x:v>
      </x:c>
      <x:c r="D109" s="18" t="str">
        <x:f>IF(Instructions!$C$41="Yes",IF('Green'!C35="","",'Green'!C35),"")</x:f>
      </x:c>
      <x:c r="E109" s="20" t="str">
        <x:f>IF(Instructions!$C$41="Yes",IF('Green'!G35="","",'Green'!G35),"")</x:f>
        <x:v>braintree</x:v>
      </x:c>
      <x:c r="F109" t="str">
        <x:f>IF(Instructions!$C$41="Yes",'Green'!H35,"")</x:f>
        <x:v>team-3</x:v>
      </x:c>
    </x:row>
    <x:row r="110" ht="24" customHeight="1">
      <x:c r="A110" s="8" t="str">
        <x:f>IF(Instructions!$C$41="Yes",IF('Green'!F36="","",'Green'!F36),"")</x:f>
        <x:v>Green</x:v>
      </x:c>
      <x:c r="B110" s="8" t="str">
        <x:f>IF(Instructions!$C$41="Yes",IF('Green'!A36="","",'Green'!A36),"")</x:f>
        <x:v>Winthrop</x:v>
      </x:c>
      <x:c r="C110" s="8" t="str">
        <x:f>IF(Instructions!$C$41="Yes",IF('Green'!B36="","",'Green'!B36),"")</x:f>
        <x:v>Not opened</x:v>
      </x:c>
      <x:c r="D110" s="18" t="str">
        <x:f>IF(Instructions!$C$41="Yes",IF('Green'!C36="","",'Green'!C36),"")</x:f>
      </x:c>
      <x:c r="E110" s="20" t="str">
        <x:f>IF(Instructions!$C$41="Yes",IF('Green'!G36="","",'Green'!G36),"")</x:f>
        <x:v>winthrop</x:v>
      </x:c>
      <x:c r="F110" t="str">
        <x:f>IF(Instructions!$C$41="Yes",'Green'!H36,"")</x:f>
        <x:v>team-3</x:v>
      </x:c>
    </x:row>
    <x:row r="111" ht="24" customHeight="1">
      <x:c r="A111" s="8" t="str">
        <x:f>IF(Instructions!$C$41="Yes",IF('Green'!F37="","",'Green'!F37),"")</x:f>
        <x:v>Green</x:v>
      </x:c>
      <x:c r="B111" s="8" t="str">
        <x:f>IF(Instructions!$C$41="Yes",IF('Green'!A37="","",'Green'!A37),"")</x:f>
        <x:v>Milton</x:v>
      </x:c>
      <x:c r="C111" s="8" t="str">
        <x:f>IF(Instructions!$C$41="Yes",IF('Green'!B37="","",'Green'!B37),"")</x:f>
        <x:v>Not opened</x:v>
      </x:c>
      <x:c r="D111" s="18" t="str">
        <x:f>IF(Instructions!$C$41="Yes",IF('Green'!C37="","",'Green'!C37),"")</x:f>
      </x:c>
      <x:c r="E111" s="20" t="str">
        <x:f>IF(Instructions!$C$41="Yes",IF('Green'!G37="","",'Green'!G37),"")</x:f>
        <x:v>milton</x:v>
      </x:c>
      <x:c r="F111" t="str">
        <x:f>IF(Instructions!$C$41="Yes",'Green'!H37,"")</x:f>
        <x:v>team-3</x:v>
      </x:c>
    </x:row>
    <x:row r="112" ht="24" customHeight="1">
      <x:c r="A112" s="8" t="str">
        <x:f>IF(Instructions!$C$41="Yes",IF('Green'!F38="","",'Green'!F38),"")</x:f>
        <x:v>Green</x:v>
      </x:c>
      <x:c r="B112" s="8" t="str">
        <x:f>IF(Instructions!$C$41="Yes",IF('Green'!A38="","",'Green'!A38),"")</x:f>
        <x:v>Longwood</x:v>
      </x:c>
      <x:c r="C112" s="8" t="str">
        <x:f>IF(Instructions!$C$41="Yes",IF('Green'!B38="","",'Green'!B38),"")</x:f>
        <x:v>Not opened</x:v>
      </x:c>
      <x:c r="D112" s="18" t="str">
        <x:f>IF(Instructions!$C$41="Yes",IF('Green'!C38="","",'Green'!C38),"")</x:f>
      </x:c>
      <x:c r="E112" s="20" t="str">
        <x:f>IF(Instructions!$C$41="Yes",IF('Green'!G38="","",'Green'!G38),"")</x:f>
        <x:v>longwood</x:v>
      </x:c>
      <x:c r="F112" t="str">
        <x:f>IF(Instructions!$C$41="Yes",'Green'!H38,"")</x:f>
        <x:v>team-3</x:v>
      </x:c>
    </x:row>
    <x:row r="113" ht="24" customHeight="1">
      <x:c r="A113" s="8" t="str">
        <x:f>IF(Instructions!$C$40="Yes",IF('Yellow'!F2="","",'Yellow'!F2),"")</x:f>
        <x:v>Yellow</x:v>
      </x:c>
      <x:c r="B113" s="8" t="str">
        <x:f>IF(Instructions!$C$40="Yes",IF('Yellow'!A2="","",'Yellow'!A2),"")</x:f>
        <x:v>Allston</x:v>
      </x:c>
      <x:c r="C113" s="8" t="str">
        <x:f>IF(Instructions!$C$40="Yes",IF('Yellow'!B2="","",'Yellow'!B2),"")</x:f>
        <x:v>Not opened</x:v>
      </x:c>
      <x:c r="D113" s="18" t="str">
        <x:f>IF(Instructions!$C$40="Yes",IF('Yellow'!C2="","",'Yellow'!C2),"")</x:f>
      </x:c>
      <x:c r="E113" s="20" t="str">
        <x:f>IF(Instructions!$C$40="Yes",IF('Yellow'!G2="","",'Yellow'!G2),"")</x:f>
        <x:v>allston</x:v>
      </x:c>
      <x:c r="F113" t="str">
        <x:f>IF(Instructions!$C$40="Yes",'Yellow'!H2,"")</x:f>
        <x:v>team-4</x:v>
      </x:c>
    </x:row>
    <x:row r="114" ht="24" customHeight="1">
      <x:c r="A114" s="8" t="str">
        <x:f>IF(Instructions!$C$40="Yes",IF('Yellow'!F3="","",'Yellow'!F3),"")</x:f>
        <x:v>Yellow</x:v>
      </x:c>
      <x:c r="B114" s="8" t="str">
        <x:f>IF(Instructions!$C$40="Yes",IF('Yellow'!A3="","",'Yellow'!A3),"")</x:f>
        <x:v>Back Bay</x:v>
      </x:c>
      <x:c r="C114" s="8" t="str">
        <x:f>IF(Instructions!$C$40="Yes",IF('Yellow'!B3="","",'Yellow'!B3),"")</x:f>
        <x:v>Not opened</x:v>
      </x:c>
      <x:c r="D114" s="18" t="str">
        <x:f>IF(Instructions!$C$40="Yes",IF('Yellow'!C3="","",'Yellow'!C3),"")</x:f>
      </x:c>
      <x:c r="E114" s="20" t="str">
        <x:f>IF(Instructions!$C$40="Yes",IF('Yellow'!G3="","",'Yellow'!G3),"")</x:f>
        <x:v>back-bay</x:v>
      </x:c>
      <x:c r="F114" t="str">
        <x:f>IF(Instructions!$C$40="Yes",'Yellow'!H3,"")</x:f>
        <x:v>team-4</x:v>
      </x:c>
    </x:row>
    <x:row r="115" ht="24" customHeight="1">
      <x:c r="A115" s="8" t="str">
        <x:f>IF(Instructions!$C$40="Yes",IF('Yellow'!F4="","",'Yellow'!F4),"")</x:f>
        <x:v>Yellow</x:v>
      </x:c>
      <x:c r="B115" s="8" t="str">
        <x:f>IF(Instructions!$C$40="Yes",IF('Yellow'!A4="","",'Yellow'!A4),"")</x:f>
        <x:v>Bay Village</x:v>
      </x:c>
      <x:c r="C115" s="8" t="str">
        <x:f>IF(Instructions!$C$40="Yes",IF('Yellow'!B4="","",'Yellow'!B4),"")</x:f>
        <x:v>Not opened</x:v>
      </x:c>
      <x:c r="D115" s="18" t="str">
        <x:f>IF(Instructions!$C$40="Yes",IF('Yellow'!C4="","",'Yellow'!C4),"")</x:f>
      </x:c>
      <x:c r="E115" s="20" t="str">
        <x:f>IF(Instructions!$C$40="Yes",IF('Yellow'!G4="","",'Yellow'!G4),"")</x:f>
        <x:v>bay-village</x:v>
      </x:c>
      <x:c r="F115" t="str">
        <x:f>IF(Instructions!$C$40="Yes",'Yellow'!H4,"")</x:f>
        <x:v>team-4</x:v>
      </x:c>
    </x:row>
    <x:row r="116" ht="24" customHeight="1">
      <x:c r="A116" s="8" t="str">
        <x:f>IF(Instructions!$C$40="Yes",IF('Yellow'!F5="","",'Yellow'!F5),"")</x:f>
        <x:v>Yellow</x:v>
      </x:c>
      <x:c r="B116" s="8" t="str">
        <x:f>IF(Instructions!$C$40="Yes",IF('Yellow'!A5="","",'Yellow'!A5),"")</x:f>
        <x:v>Beacon Hill</x:v>
      </x:c>
      <x:c r="C116" s="8" t="str">
        <x:f>IF(Instructions!$C$40="Yes",IF('Yellow'!B5="","",'Yellow'!B5),"")</x:f>
        <x:v>Not opened</x:v>
      </x:c>
      <x:c r="D116" s="18" t="str">
        <x:f>IF(Instructions!$C$40="Yes",IF('Yellow'!C5="","",'Yellow'!C5),"")</x:f>
      </x:c>
      <x:c r="E116" s="20" t="str">
        <x:f>IF(Instructions!$C$40="Yes",IF('Yellow'!G5="","",'Yellow'!G5),"")</x:f>
        <x:v>beacon-hill</x:v>
      </x:c>
      <x:c r="F116" t="str">
        <x:f>IF(Instructions!$C$40="Yes",'Yellow'!H5,"")</x:f>
        <x:v>team-4</x:v>
      </x:c>
    </x:row>
    <x:row r="117" ht="24" customHeight="1">
      <x:c r="A117" s="8" t="str">
        <x:f>IF(Instructions!$C$40="Yes",IF('Yellow'!F6="","",'Yellow'!F6),"")</x:f>
        <x:v>Yellow</x:v>
      </x:c>
      <x:c r="B117" s="8" t="str">
        <x:f>IF(Instructions!$C$40="Yes",IF('Yellow'!A6="","",'Yellow'!A6),"")</x:f>
        <x:v>Brighton</x:v>
      </x:c>
      <x:c r="C117" s="8" t="str">
        <x:f>IF(Instructions!$C$40="Yes",IF('Yellow'!B6="","",'Yellow'!B6),"")</x:f>
        <x:v>Not opened</x:v>
      </x:c>
      <x:c r="D117" s="18" t="str">
        <x:f>IF(Instructions!$C$40="Yes",IF('Yellow'!C6="","",'Yellow'!C6),"")</x:f>
      </x:c>
      <x:c r="E117" s="20" t="str">
        <x:f>IF(Instructions!$C$40="Yes",IF('Yellow'!G6="","",'Yellow'!G6),"")</x:f>
        <x:v>brighton</x:v>
      </x:c>
      <x:c r="F117" t="str">
        <x:f>IF(Instructions!$C$40="Yes",'Yellow'!H6,"")</x:f>
        <x:v>team-4</x:v>
      </x:c>
    </x:row>
    <x:row r="118" ht="24" customHeight="1">
      <x:c r="A118" s="8" t="str">
        <x:f>IF(Instructions!$C$40="Yes",IF('Yellow'!F7="","",'Yellow'!F7),"")</x:f>
        <x:v>Yellow</x:v>
      </x:c>
      <x:c r="B118" s="8" t="str">
        <x:f>IF(Instructions!$C$40="Yes",IF('Yellow'!A7="","",'Yellow'!A7),"")</x:f>
        <x:v>Charlestown</x:v>
      </x:c>
      <x:c r="C118" s="8" t="str">
        <x:f>IF(Instructions!$C$40="Yes",IF('Yellow'!B7="","",'Yellow'!B7),"")</x:f>
        <x:v>Not opened</x:v>
      </x:c>
      <x:c r="D118" s="18" t="str">
        <x:f>IF(Instructions!$C$40="Yes",IF('Yellow'!C7="","",'Yellow'!C7),"")</x:f>
      </x:c>
      <x:c r="E118" s="20" t="str">
        <x:f>IF(Instructions!$C$40="Yes",IF('Yellow'!G7="","",'Yellow'!G7),"")</x:f>
        <x:v>charlestown</x:v>
      </x:c>
      <x:c r="F118" t="str">
        <x:f>IF(Instructions!$C$40="Yes",'Yellow'!H7,"")</x:f>
        <x:v>team-4</x:v>
      </x:c>
    </x:row>
    <x:row r="119" ht="24" customHeight="1">
      <x:c r="A119" s="8" t="str">
        <x:f>IF(Instructions!$C$40="Yes",IF('Yellow'!F8="","",'Yellow'!F8),"")</x:f>
        <x:v>Yellow</x:v>
      </x:c>
      <x:c r="B119" s="8" t="str">
        <x:f>IF(Instructions!$C$40="Yes",IF('Yellow'!A8="","",'Yellow'!A8),"")</x:f>
        <x:v>Chinatown</x:v>
      </x:c>
      <x:c r="C119" s="8" t="str">
        <x:f>IF(Instructions!$C$40="Yes",IF('Yellow'!B8="","",'Yellow'!B8),"")</x:f>
        <x:v>Not opened</x:v>
      </x:c>
      <x:c r="D119" s="18" t="str">
        <x:f>IF(Instructions!$C$40="Yes",IF('Yellow'!C8="","",'Yellow'!C8),"")</x:f>
      </x:c>
      <x:c r="E119" s="20" t="str">
        <x:f>IF(Instructions!$C$40="Yes",IF('Yellow'!G8="","",'Yellow'!G8),"")</x:f>
        <x:v>chinatown-leather-district</x:v>
      </x:c>
      <x:c r="F119" t="str">
        <x:f>IF(Instructions!$C$40="Yes",'Yellow'!H8,"")</x:f>
        <x:v>team-4</x:v>
      </x:c>
    </x:row>
    <x:row r="120" ht="24" customHeight="1">
      <x:c r="A120" s="8" t="str">
        <x:f>IF(Instructions!$C$40="Yes",IF('Yellow'!F9="","",'Yellow'!F9),"")</x:f>
        <x:v>Yellow</x:v>
      </x:c>
      <x:c r="B120" s="8" t="str">
        <x:f>IF(Instructions!$C$40="Yes",IF('Yellow'!A9="","",'Yellow'!A9),"")</x:f>
        <x:v>Dorchester</x:v>
      </x:c>
      <x:c r="C120" s="8" t="str">
        <x:f>IF(Instructions!$C$40="Yes",IF('Yellow'!B9="","",'Yellow'!B9),"")</x:f>
        <x:v>Not opened</x:v>
      </x:c>
      <x:c r="D120" s="18" t="str">
        <x:f>IF(Instructions!$C$40="Yes",IF('Yellow'!C9="","",'Yellow'!C9),"")</x:f>
      </x:c>
      <x:c r="E120" s="20" t="str">
        <x:f>IF(Instructions!$C$40="Yes",IF('Yellow'!G9="","",'Yellow'!G9),"")</x:f>
        <x:v>dorchester</x:v>
      </x:c>
      <x:c r="F120" t="str">
        <x:f>IF(Instructions!$C$40="Yes",'Yellow'!H9,"")</x:f>
        <x:v>team-4</x:v>
      </x:c>
    </x:row>
    <x:row r="121" ht="24" customHeight="1">
      <x:c r="A121" s="8" t="str">
        <x:f>IF(Instructions!$C$40="Yes",IF('Yellow'!F10="","",'Yellow'!F10),"")</x:f>
        <x:v>Yellow</x:v>
      </x:c>
      <x:c r="B121" s="8" t="str">
        <x:f>IF(Instructions!$C$40="Yes",IF('Yellow'!A10="","",'Yellow'!A10),"")</x:f>
        <x:v>Downtown</x:v>
      </x:c>
      <x:c r="C121" s="8" t="str">
        <x:f>IF(Instructions!$C$40="Yes",IF('Yellow'!B10="","",'Yellow'!B10),"")</x:f>
        <x:v>Not opened</x:v>
      </x:c>
      <x:c r="D121" s="18" t="str">
        <x:f>IF(Instructions!$C$40="Yes",IF('Yellow'!C10="","",'Yellow'!C10),"")</x:f>
      </x:c>
      <x:c r="E121" s="20" t="str">
        <x:f>IF(Instructions!$C$40="Yes",IF('Yellow'!G10="","",'Yellow'!G10),"")</x:f>
        <x:v>downtown</x:v>
      </x:c>
      <x:c r="F121" t="str">
        <x:f>IF(Instructions!$C$40="Yes",'Yellow'!H10,"")</x:f>
        <x:v>team-4</x:v>
      </x:c>
    </x:row>
    <x:row r="122" ht="24" customHeight="1">
      <x:c r="A122" s="8" t="str">
        <x:f>IF(Instructions!$C$40="Yes",IF('Yellow'!F11="","",'Yellow'!F11),"")</x:f>
        <x:v>Yellow</x:v>
      </x:c>
      <x:c r="B122" s="8" t="str">
        <x:f>IF(Instructions!$C$40="Yes",IF('Yellow'!A11="","",'Yellow'!A11),"")</x:f>
        <x:v>East Boston</x:v>
      </x:c>
      <x:c r="C122" s="8" t="str">
        <x:f>IF(Instructions!$C$40="Yes",IF('Yellow'!B11="","",'Yellow'!B11),"")</x:f>
        <x:v>Not opened</x:v>
      </x:c>
      <x:c r="D122" s="18" t="str">
        <x:f>IF(Instructions!$C$40="Yes",IF('Yellow'!C11="","",'Yellow'!C11),"")</x:f>
      </x:c>
      <x:c r="E122" s="20" t="str">
        <x:f>IF(Instructions!$C$40="Yes",IF('Yellow'!G11="","",'Yellow'!G11),"")</x:f>
        <x:v>east-boston</x:v>
      </x:c>
      <x:c r="F122" t="str">
        <x:f>IF(Instructions!$C$40="Yes",'Yellow'!H11,"")</x:f>
        <x:v>team-4</x:v>
      </x:c>
    </x:row>
    <x:row r="123" ht="24" customHeight="1">
      <x:c r="A123" s="8" t="str">
        <x:f>IF(Instructions!$C$40="Yes",IF('Yellow'!F12="","",'Yellow'!F12),"")</x:f>
        <x:v>Yellow</x:v>
      </x:c>
      <x:c r="B123" s="8" t="str">
        <x:f>IF(Instructions!$C$40="Yes",IF('Yellow'!A12="","",'Yellow'!A12),"")</x:f>
        <x:v>Fenway–Kenmore</x:v>
      </x:c>
      <x:c r="C123" s="8" t="str">
        <x:f>IF(Instructions!$C$40="Yes",IF('Yellow'!B12="","",'Yellow'!B12),"")</x:f>
        <x:v>Not opened</x:v>
      </x:c>
      <x:c r="D123" s="18" t="str">
        <x:f>IF(Instructions!$C$40="Yes",IF('Yellow'!C12="","",'Yellow'!C12),"")</x:f>
      </x:c>
      <x:c r="E123" s="20" t="str">
        <x:f>IF(Instructions!$C$40="Yes",IF('Yellow'!G12="","",'Yellow'!G12),"")</x:f>
        <x:v>fenway-kenmore</x:v>
      </x:c>
      <x:c r="F123" t="str">
        <x:f>IF(Instructions!$C$40="Yes",'Yellow'!H12,"")</x:f>
        <x:v>team-4</x:v>
      </x:c>
    </x:row>
    <x:row r="124" ht="24" customHeight="1">
      <x:c r="A124" s="8" t="str">
        <x:f>IF(Instructions!$C$40="Yes",IF('Yellow'!F13="","",'Yellow'!F13),"")</x:f>
        <x:v>Yellow</x:v>
      </x:c>
      <x:c r="B124" s="8" t="str">
        <x:f>IF(Instructions!$C$40="Yes",IF('Yellow'!A13="","",'Yellow'!A13),"")</x:f>
        <x:v>Hyde Park</x:v>
      </x:c>
      <x:c r="C124" s="8" t="str">
        <x:f>IF(Instructions!$C$40="Yes",IF('Yellow'!B13="","",'Yellow'!B13),"")</x:f>
        <x:v>Not opened</x:v>
      </x:c>
      <x:c r="D124" s="18" t="str">
        <x:f>IF(Instructions!$C$40="Yes",IF('Yellow'!C13="","",'Yellow'!C13),"")</x:f>
      </x:c>
      <x:c r="E124" s="20" t="str">
        <x:f>IF(Instructions!$C$40="Yes",IF('Yellow'!G13="","",'Yellow'!G13),"")</x:f>
        <x:v>hyde-park</x:v>
      </x:c>
      <x:c r="F124" t="str">
        <x:f>IF(Instructions!$C$40="Yes",'Yellow'!H13,"")</x:f>
        <x:v>team-4</x:v>
      </x:c>
    </x:row>
    <x:row r="125" ht="24" customHeight="1">
      <x:c r="A125" s="8" t="str">
        <x:f>IF(Instructions!$C$40="Yes",IF('Yellow'!F14="","",'Yellow'!F14),"")</x:f>
        <x:v>Yellow</x:v>
      </x:c>
      <x:c r="B125" s="8" t="str">
        <x:f>IF(Instructions!$C$40="Yes",IF('Yellow'!A14="","",'Yellow'!A14),"")</x:f>
        <x:v>Jamaica Plain</x:v>
      </x:c>
      <x:c r="C125" s="8" t="str">
        <x:f>IF(Instructions!$C$40="Yes",IF('Yellow'!B14="","",'Yellow'!B14),"")</x:f>
        <x:v>Not opened</x:v>
      </x:c>
      <x:c r="D125" s="18" t="str">
        <x:f>IF(Instructions!$C$40="Yes",IF('Yellow'!C14="","",'Yellow'!C14),"")</x:f>
      </x:c>
      <x:c r="E125" s="20" t="str">
        <x:f>IF(Instructions!$C$40="Yes",IF('Yellow'!G14="","",'Yellow'!G14),"")</x:f>
        <x:v>jamaica-plain</x:v>
      </x:c>
      <x:c r="F125" t="str">
        <x:f>IF(Instructions!$C$40="Yes",'Yellow'!H14,"")</x:f>
        <x:v>team-4</x:v>
      </x:c>
    </x:row>
    <x:row r="126" ht="24" customHeight="1">
      <x:c r="A126" s="8" t="str">
        <x:f>IF(Instructions!$C$40="Yes",IF('Yellow'!F15="","",'Yellow'!F15),"")</x:f>
        <x:v>Yellow</x:v>
      </x:c>
      <x:c r="B126" s="8" t="str">
        <x:f>IF(Instructions!$C$40="Yes",IF('Yellow'!A15="","",'Yellow'!A15),"")</x:f>
        <x:v>Mattapan</x:v>
      </x:c>
      <x:c r="C126" s="8" t="str">
        <x:f>IF(Instructions!$C$40="Yes",IF('Yellow'!B15="","",'Yellow'!B15),"")</x:f>
        <x:v>Not opened</x:v>
      </x:c>
      <x:c r="D126" s="18" t="str">
        <x:f>IF(Instructions!$C$40="Yes",IF('Yellow'!C15="","",'Yellow'!C15),"")</x:f>
      </x:c>
      <x:c r="E126" s="20" t="str">
        <x:f>IF(Instructions!$C$40="Yes",IF('Yellow'!G15="","",'Yellow'!G15),"")</x:f>
        <x:v>mattapan</x:v>
      </x:c>
      <x:c r="F126" t="str">
        <x:f>IF(Instructions!$C$40="Yes",'Yellow'!H15,"")</x:f>
        <x:v>team-4</x:v>
      </x:c>
    </x:row>
    <x:row r="127" ht="24" customHeight="1">
      <x:c r="A127" s="8" t="str">
        <x:f>IF(Instructions!$C$40="Yes",IF('Yellow'!F16="","",'Yellow'!F16),"")</x:f>
        <x:v>Yellow</x:v>
      </x:c>
      <x:c r="B127" s="8" t="str">
        <x:f>IF(Instructions!$C$40="Yes",IF('Yellow'!A16="","",'Yellow'!A16),"")</x:f>
        <x:v>Mission Hill</x:v>
      </x:c>
      <x:c r="C127" s="8" t="str">
        <x:f>IF(Instructions!$C$40="Yes",IF('Yellow'!B16="","",'Yellow'!B16),"")</x:f>
        <x:v>Not opened</x:v>
      </x:c>
      <x:c r="D127" s="18" t="str">
        <x:f>IF(Instructions!$C$40="Yes",IF('Yellow'!C16="","",'Yellow'!C16),"")</x:f>
      </x:c>
      <x:c r="E127" s="20" t="str">
        <x:f>IF(Instructions!$C$40="Yes",IF('Yellow'!G16="","",'Yellow'!G16),"")</x:f>
        <x:v>mission-hill</x:v>
      </x:c>
      <x:c r="F127" t="str">
        <x:f>IF(Instructions!$C$40="Yes",'Yellow'!H16,"")</x:f>
        <x:v>team-4</x:v>
      </x:c>
    </x:row>
    <x:row r="128" ht="24" customHeight="1">
      <x:c r="A128" s="8" t="str">
        <x:f>IF(Instructions!$C$40="Yes",IF('Yellow'!F17="","",'Yellow'!F17),"")</x:f>
        <x:v>Yellow</x:v>
      </x:c>
      <x:c r="B128" s="8" t="str">
        <x:f>IF(Instructions!$C$40="Yes",IF('Yellow'!A17="","",'Yellow'!A17),"")</x:f>
        <x:v>North End</x:v>
      </x:c>
      <x:c r="C128" s="8" t="str">
        <x:f>IF(Instructions!$C$40="Yes",IF('Yellow'!B17="","",'Yellow'!B17),"")</x:f>
        <x:v>Not opened</x:v>
      </x:c>
      <x:c r="D128" s="18" t="str">
        <x:f>IF(Instructions!$C$40="Yes",IF('Yellow'!C17="","",'Yellow'!C17),"")</x:f>
      </x:c>
      <x:c r="E128" s="20" t="str">
        <x:f>IF(Instructions!$C$40="Yes",IF('Yellow'!G17="","",'Yellow'!G17),"")</x:f>
        <x:v>north-end</x:v>
      </x:c>
      <x:c r="F128" t="str">
        <x:f>IF(Instructions!$C$40="Yes",'Yellow'!H17,"")</x:f>
        <x:v>team-4</x:v>
      </x:c>
    </x:row>
    <x:row r="129" ht="24" customHeight="1">
      <x:c r="A129" s="8" t="str">
        <x:f>IF(Instructions!$C$40="Yes",IF('Yellow'!F18="","",'Yellow'!F18),"")</x:f>
        <x:v>Yellow</x:v>
      </x:c>
      <x:c r="B129" s="8" t="str">
        <x:f>IF(Instructions!$C$40="Yes",IF('Yellow'!A18="","",'Yellow'!A18),"")</x:f>
        <x:v>Roslindale</x:v>
      </x:c>
      <x:c r="C129" s="8" t="str">
        <x:f>IF(Instructions!$C$40="Yes",IF('Yellow'!B18="","",'Yellow'!B18),"")</x:f>
        <x:v>Not opened</x:v>
      </x:c>
      <x:c r="D129" s="18" t="str">
        <x:f>IF(Instructions!$C$40="Yes",IF('Yellow'!C18="","",'Yellow'!C18),"")</x:f>
      </x:c>
      <x:c r="E129" s="20" t="str">
        <x:f>IF(Instructions!$C$40="Yes",IF('Yellow'!G18="","",'Yellow'!G18),"")</x:f>
        <x:v>roslindale</x:v>
      </x:c>
      <x:c r="F129" t="str">
        <x:f>IF(Instructions!$C$40="Yes",'Yellow'!H18,"")</x:f>
        <x:v>team-4</x:v>
      </x:c>
    </x:row>
    <x:row r="130" ht="24" customHeight="1">
      <x:c r="A130" s="8" t="str">
        <x:f>IF(Instructions!$C$40="Yes",IF('Yellow'!F19="","",'Yellow'!F19),"")</x:f>
        <x:v>Yellow</x:v>
      </x:c>
      <x:c r="B130" s="8" t="str">
        <x:f>IF(Instructions!$C$40="Yes",IF('Yellow'!A19="","",'Yellow'!A19),"")</x:f>
        <x:v>Roxbury</x:v>
      </x:c>
      <x:c r="C130" s="8" t="str">
        <x:f>IF(Instructions!$C$40="Yes",IF('Yellow'!B19="","",'Yellow'!B19),"")</x:f>
        <x:v>Not opened</x:v>
      </x:c>
      <x:c r="D130" s="18" t="str">
        <x:f>IF(Instructions!$C$40="Yes",IF('Yellow'!C19="","",'Yellow'!C19),"")</x:f>
      </x:c>
      <x:c r="E130" s="20" t="str">
        <x:f>IF(Instructions!$C$40="Yes",IF('Yellow'!G19="","",'Yellow'!G19),"")</x:f>
        <x:v>roxbury</x:v>
      </x:c>
      <x:c r="F130" t="str">
        <x:f>IF(Instructions!$C$40="Yes",'Yellow'!H19,"")</x:f>
        <x:v>team-4</x:v>
      </x:c>
    </x:row>
    <x:row r="131" ht="24" customHeight="1">
      <x:c r="A131" s="8" t="str">
        <x:f>IF(Instructions!$C$40="Yes",IF('Yellow'!F20="","",'Yellow'!F20),"")</x:f>
        <x:v>Yellow</x:v>
      </x:c>
      <x:c r="B131" s="8" t="str">
        <x:f>IF(Instructions!$C$40="Yes",IF('Yellow'!A20="","",'Yellow'!A20),"")</x:f>
        <x:v>South Boston</x:v>
      </x:c>
      <x:c r="C131" s="8" t="str">
        <x:f>IF(Instructions!$C$40="Yes",IF('Yellow'!B20="","",'Yellow'!B20),"")</x:f>
        <x:v>Not opened</x:v>
      </x:c>
      <x:c r="D131" s="18" t="str">
        <x:f>IF(Instructions!$C$40="Yes",IF('Yellow'!C20="","",'Yellow'!C20),"")</x:f>
      </x:c>
      <x:c r="E131" s="20" t="str">
        <x:f>IF(Instructions!$C$40="Yes",IF('Yellow'!G20="","",'Yellow'!G20),"")</x:f>
        <x:v>south-boston</x:v>
      </x:c>
      <x:c r="F131" t="str">
        <x:f>IF(Instructions!$C$40="Yes",'Yellow'!H20,"")</x:f>
        <x:v>team-4</x:v>
      </x:c>
    </x:row>
    <x:row r="132" ht="24" customHeight="1">
      <x:c r="A132" s="8" t="str">
        <x:f>IF(Instructions!$C$40="Yes",IF('Yellow'!F21="","",'Yellow'!F21),"")</x:f>
        <x:v>Yellow</x:v>
      </x:c>
      <x:c r="B132" s="8" t="str">
        <x:f>IF(Instructions!$C$40="Yes",IF('Yellow'!A21="","",'Yellow'!A21),"")</x:f>
        <x:v>South End</x:v>
      </x:c>
      <x:c r="C132" s="8" t="str">
        <x:f>IF(Instructions!$C$40="Yes",IF('Yellow'!B21="","",'Yellow'!B21),"")</x:f>
        <x:v>Not opened</x:v>
      </x:c>
      <x:c r="D132" s="18" t="str">
        <x:f>IF(Instructions!$C$40="Yes",IF('Yellow'!C21="","",'Yellow'!C21),"")</x:f>
      </x:c>
      <x:c r="E132" s="20" t="str">
        <x:f>IF(Instructions!$C$40="Yes",IF('Yellow'!G21="","",'Yellow'!G21),"")</x:f>
        <x:v>south-end</x:v>
      </x:c>
      <x:c r="F132" t="str">
        <x:f>IF(Instructions!$C$40="Yes",'Yellow'!H21,"")</x:f>
        <x:v>team-4</x:v>
      </x:c>
    </x:row>
    <x:row r="133" ht="24" customHeight="1">
      <x:c r="A133" s="8" t="str">
        <x:f>IF(Instructions!$C$40="Yes",IF('Yellow'!F22="","",'Yellow'!F22),"")</x:f>
        <x:v>Yellow</x:v>
      </x:c>
      <x:c r="B133" s="8" t="str">
        <x:f>IF(Instructions!$C$40="Yes",IF('Yellow'!A22="","",'Yellow'!A22),"")</x:f>
        <x:v>West End</x:v>
      </x:c>
      <x:c r="C133" s="8" t="str">
        <x:f>IF(Instructions!$C$40="Yes",IF('Yellow'!B22="","",'Yellow'!B22),"")</x:f>
        <x:v>Not opened</x:v>
      </x:c>
      <x:c r="D133" s="18" t="str">
        <x:f>IF(Instructions!$C$40="Yes",IF('Yellow'!C22="","",'Yellow'!C22),"")</x:f>
      </x:c>
      <x:c r="E133" s="20" t="str">
        <x:f>IF(Instructions!$C$40="Yes",IF('Yellow'!G22="","",'Yellow'!G22),"")</x:f>
        <x:v>west-end</x:v>
      </x:c>
      <x:c r="F133" t="str">
        <x:f>IF(Instructions!$C$40="Yes",'Yellow'!H22,"")</x:f>
        <x:v>team-4</x:v>
      </x:c>
    </x:row>
    <x:row r="134" ht="24" customHeight="1">
      <x:c r="A134" s="8" t="str">
        <x:f>IF(Instructions!$C$40="Yes",IF('Yellow'!F23="","",'Yellow'!F23),"")</x:f>
        <x:v>Yellow</x:v>
      </x:c>
      <x:c r="B134" s="8" t="str">
        <x:f>IF(Instructions!$C$40="Yes",IF('Yellow'!A23="","",'Yellow'!A23),"")</x:f>
        <x:v>West Roxbury</x:v>
      </x:c>
      <x:c r="C134" s="8" t="str">
        <x:f>IF(Instructions!$C$40="Yes",IF('Yellow'!B23="","",'Yellow'!B23),"")</x:f>
        <x:v>Not opened</x:v>
      </x:c>
      <x:c r="D134" s="18" t="str">
        <x:f>IF(Instructions!$C$40="Yes",IF('Yellow'!C23="","",'Yellow'!C23),"")</x:f>
      </x:c>
      <x:c r="E134" s="20" t="str">
        <x:f>IF(Instructions!$C$40="Yes",IF('Yellow'!G23="","",'Yellow'!G23),"")</x:f>
        <x:v>west-roxbury</x:v>
      </x:c>
      <x:c r="F134" t="str">
        <x:f>IF(Instructions!$C$40="Yes",'Yellow'!H23,"")</x:f>
        <x:v>team-4</x:v>
      </x:c>
    </x:row>
    <x:row r="135" ht="24" customHeight="1">
      <x:c r="A135" s="8" t="str">
        <x:f>IF(Instructions!$C$40="Yes",IF('Yellow'!F24="","",'Yellow'!F24),"")</x:f>
        <x:v>Yellow</x:v>
      </x:c>
      <x:c r="B135" s="8" t="str">
        <x:f>IF(Instructions!$C$40="Yes",IF('Yellow'!A24="","",'Yellow'!A24),"")</x:f>
        <x:v>Seaport</x:v>
      </x:c>
      <x:c r="C135" s="8" t="str">
        <x:f>IF(Instructions!$C$40="Yes",IF('Yellow'!B24="","",'Yellow'!B24),"")</x:f>
        <x:v>Not opened</x:v>
      </x:c>
      <x:c r="D135" s="18" t="str">
        <x:f>IF(Instructions!$C$40="Yes",IF('Yellow'!C24="","",'Yellow'!C24),"")</x:f>
      </x:c>
      <x:c r="E135" s="20" t="str">
        <x:f>IF(Instructions!$C$40="Yes",IF('Yellow'!G24="","",'Yellow'!G24),"")</x:f>
        <x:v>seaport</x:v>
      </x:c>
      <x:c r="F135" t="str">
        <x:f>IF(Instructions!$C$40="Yes",'Yellow'!H24,"")</x:f>
        <x:v>team-4</x:v>
      </x:c>
    </x:row>
    <x:row r="136" ht="24" customHeight="1">
      <x:c r="A136" s="8" t="str">
        <x:f>IF(Instructions!$C$40="Yes",IF('Yellow'!F25="","",'Yellow'!F25),"")</x:f>
        <x:v>Yellow</x:v>
      </x:c>
      <x:c r="B136" s="8" t="str">
        <x:f>IF(Instructions!$C$40="Yes",IF('Yellow'!A25="","",'Yellow'!A25),"")</x:f>
        <x:v>Cambridge</x:v>
      </x:c>
      <x:c r="C136" s="8" t="str">
        <x:f>IF(Instructions!$C$40="Yes",IF('Yellow'!B25="","",'Yellow'!B25),"")</x:f>
        <x:v>Not opened</x:v>
      </x:c>
      <x:c r="D136" s="18" t="str">
        <x:f>IF(Instructions!$C$40="Yes",IF('Yellow'!C25="","",'Yellow'!C25),"")</x:f>
      </x:c>
      <x:c r="E136" s="20" t="str">
        <x:f>IF(Instructions!$C$40="Yes",IF('Yellow'!G25="","",'Yellow'!G25),"")</x:f>
        <x:v>cambridge</x:v>
      </x:c>
      <x:c r="F136" t="str">
        <x:f>IF(Instructions!$C$40="Yes",'Yellow'!H25,"")</x:f>
        <x:v>team-4</x:v>
      </x:c>
    </x:row>
    <x:row r="137" ht="24" customHeight="1">
      <x:c r="A137" s="8" t="str">
        <x:f>IF(Instructions!$C$40="Yes",IF('Yellow'!F26="","",'Yellow'!F26),"")</x:f>
        <x:v>Yellow</x:v>
      </x:c>
      <x:c r="B137" s="8" t="str">
        <x:f>IF(Instructions!$C$40="Yes",IF('Yellow'!A26="","",'Yellow'!A26),"")</x:f>
        <x:v>Somerville</x:v>
      </x:c>
      <x:c r="C137" s="8" t="str">
        <x:f>IF(Instructions!$C$40="Yes",IF('Yellow'!B26="","",'Yellow'!B26),"")</x:f>
        <x:v>Not opened</x:v>
      </x:c>
      <x:c r="D137" s="18" t="str">
        <x:f>IF(Instructions!$C$40="Yes",IF('Yellow'!C26="","",'Yellow'!C26),"")</x:f>
      </x:c>
      <x:c r="E137" s="20" t="str">
        <x:f>IF(Instructions!$C$40="Yes",IF('Yellow'!G26="","",'Yellow'!G26),"")</x:f>
        <x:v>somerville</x:v>
      </x:c>
      <x:c r="F137" t="str">
        <x:f>IF(Instructions!$C$40="Yes",'Yellow'!H26,"")</x:f>
        <x:v>team-4</x:v>
      </x:c>
    </x:row>
    <x:row r="138" ht="24" customHeight="1">
      <x:c r="A138" s="8" t="str">
        <x:f>IF(Instructions!$C$40="Yes",IF('Yellow'!F27="","",'Yellow'!F27),"")</x:f>
        <x:v>Yellow</x:v>
      </x:c>
      <x:c r="B138" s="8" t="str">
        <x:f>IF(Instructions!$C$40="Yes",IF('Yellow'!A27="","",'Yellow'!A27),"")</x:f>
        <x:v>Everett</x:v>
      </x:c>
      <x:c r="C138" s="8" t="str">
        <x:f>IF(Instructions!$C$40="Yes",IF('Yellow'!B27="","",'Yellow'!B27),"")</x:f>
        <x:v>Not opened</x:v>
      </x:c>
      <x:c r="D138" s="18" t="str">
        <x:f>IF(Instructions!$C$40="Yes",IF('Yellow'!C27="","",'Yellow'!C27),"")</x:f>
      </x:c>
      <x:c r="E138" s="20" t="str">
        <x:f>IF(Instructions!$C$40="Yes",IF('Yellow'!G27="","",'Yellow'!G27),"")</x:f>
        <x:v>everett</x:v>
      </x:c>
      <x:c r="F138" t="str">
        <x:f>IF(Instructions!$C$40="Yes",'Yellow'!H27,"")</x:f>
        <x:v>team-4</x:v>
      </x:c>
    </x:row>
    <x:row r="139" ht="24" customHeight="1">
      <x:c r="A139" s="8" t="str">
        <x:f>IF(Instructions!$C$40="Yes",IF('Yellow'!F28="","",'Yellow'!F28),"")</x:f>
        <x:v>Yellow</x:v>
      </x:c>
      <x:c r="B139" s="8" t="str">
        <x:f>IF(Instructions!$C$40="Yes",IF('Yellow'!A28="","",'Yellow'!A28),"")</x:f>
        <x:v>Chelsea</x:v>
      </x:c>
      <x:c r="C139" s="8" t="str">
        <x:f>IF(Instructions!$C$40="Yes",IF('Yellow'!B28="","",'Yellow'!B28),"")</x:f>
        <x:v>Not opened</x:v>
      </x:c>
      <x:c r="D139" s="18" t="str">
        <x:f>IF(Instructions!$C$40="Yes",IF('Yellow'!C28="","",'Yellow'!C28),"")</x:f>
      </x:c>
      <x:c r="E139" s="20" t="str">
        <x:f>IF(Instructions!$C$40="Yes",IF('Yellow'!G28="","",'Yellow'!G28),"")</x:f>
        <x:v>chelsea</x:v>
      </x:c>
      <x:c r="F139" t="str">
        <x:f>IF(Instructions!$C$40="Yes",'Yellow'!H28,"")</x:f>
        <x:v>team-4</x:v>
      </x:c>
    </x:row>
    <x:row r="140" ht="24" customHeight="1">
      <x:c r="A140" s="8" t="str">
        <x:f>IF(Instructions!$C$40="Yes",IF('Yellow'!F29="","",'Yellow'!F29),"")</x:f>
        <x:v>Yellow</x:v>
      </x:c>
      <x:c r="B140" s="8" t="str">
        <x:f>IF(Instructions!$C$40="Yes",IF('Yellow'!A29="","",'Yellow'!A29),"")</x:f>
        <x:v>Revere</x:v>
      </x:c>
      <x:c r="C140" s="8" t="str">
        <x:f>IF(Instructions!$C$40="Yes",IF('Yellow'!B29="","",'Yellow'!B29),"")</x:f>
        <x:v>Not opened</x:v>
      </x:c>
      <x:c r="D140" s="18" t="str">
        <x:f>IF(Instructions!$C$40="Yes",IF('Yellow'!C29="","",'Yellow'!C29),"")</x:f>
      </x:c>
      <x:c r="E140" s="20" t="str">
        <x:f>IF(Instructions!$C$40="Yes",IF('Yellow'!G29="","",'Yellow'!G29),"")</x:f>
        <x:v>revere</x:v>
      </x:c>
      <x:c r="F140" t="str">
        <x:f>IF(Instructions!$C$40="Yes",'Yellow'!H29,"")</x:f>
        <x:v>team-4</x:v>
      </x:c>
    </x:row>
    <x:row r="141" ht="24" customHeight="1">
      <x:c r="A141" s="8" t="str">
        <x:f>IF(Instructions!$C$40="Yes",IF('Yellow'!F30="","",'Yellow'!F30),"")</x:f>
        <x:v>Yellow</x:v>
      </x:c>
      <x:c r="B141" s="8" t="str">
        <x:f>IF(Instructions!$C$40="Yes",IF('Yellow'!A30="","",'Yellow'!A30),"")</x:f>
        <x:v>Malden</x:v>
      </x:c>
      <x:c r="C141" s="8" t="str">
        <x:f>IF(Instructions!$C$40="Yes",IF('Yellow'!B30="","",'Yellow'!B30),"")</x:f>
        <x:v>Not opened</x:v>
      </x:c>
      <x:c r="D141" s="18" t="str">
        <x:f>IF(Instructions!$C$40="Yes",IF('Yellow'!C30="","",'Yellow'!C30),"")</x:f>
      </x:c>
      <x:c r="E141" s="20" t="str">
        <x:f>IF(Instructions!$C$40="Yes",IF('Yellow'!G30="","",'Yellow'!G30),"")</x:f>
        <x:v>malden</x:v>
      </x:c>
      <x:c r="F141" t="str">
        <x:f>IF(Instructions!$C$40="Yes",'Yellow'!H30,"")</x:f>
        <x:v>team-4</x:v>
      </x:c>
    </x:row>
    <x:row r="142" ht="24" customHeight="1">
      <x:c r="A142" s="8" t="str">
        <x:f>IF(Instructions!$C$40="Yes",IF('Yellow'!F31="","",'Yellow'!F31),"")</x:f>
        <x:v>Yellow</x:v>
      </x:c>
      <x:c r="B142" s="8" t="str">
        <x:f>IF(Instructions!$C$40="Yes",IF('Yellow'!A31="","",'Yellow'!A31),"")</x:f>
        <x:v>Medford</x:v>
      </x:c>
      <x:c r="C142" s="8" t="str">
        <x:f>IF(Instructions!$C$40="Yes",IF('Yellow'!B31="","",'Yellow'!B31),"")</x:f>
        <x:v>Not opened</x:v>
      </x:c>
      <x:c r="D142" s="18" t="str">
        <x:f>IF(Instructions!$C$40="Yes",IF('Yellow'!C31="","",'Yellow'!C31),"")</x:f>
      </x:c>
      <x:c r="E142" s="20" t="str">
        <x:f>IF(Instructions!$C$40="Yes",IF('Yellow'!G31="","",'Yellow'!G31),"")</x:f>
        <x:v>medford</x:v>
      </x:c>
      <x:c r="F142" t="str">
        <x:f>IF(Instructions!$C$40="Yes",'Yellow'!H31,"")</x:f>
        <x:v>team-4</x:v>
      </x:c>
    </x:row>
    <x:row r="143" ht="24" customHeight="1">
      <x:c r="A143" s="8" t="str">
        <x:f>IF(Instructions!$C$40="Yes",IF('Yellow'!F32="","",'Yellow'!F32),"")</x:f>
        <x:v>Yellow</x:v>
      </x:c>
      <x:c r="B143" s="8" t="str">
        <x:f>IF(Instructions!$C$40="Yes",IF('Yellow'!A32="","",'Yellow'!A32),"")</x:f>
        <x:v>Brookline</x:v>
      </x:c>
      <x:c r="C143" s="8" t="str">
        <x:f>IF(Instructions!$C$40="Yes",IF('Yellow'!B32="","",'Yellow'!B32),"")</x:f>
        <x:v>Not opened</x:v>
      </x:c>
      <x:c r="D143" s="18" t="str">
        <x:f>IF(Instructions!$C$40="Yes",IF('Yellow'!C32="","",'Yellow'!C32),"")</x:f>
      </x:c>
      <x:c r="E143" s="20" t="str">
        <x:f>IF(Instructions!$C$40="Yes",IF('Yellow'!G32="","",'Yellow'!G32),"")</x:f>
        <x:v>brookline</x:v>
      </x:c>
      <x:c r="F143" t="str">
        <x:f>IF(Instructions!$C$40="Yes",'Yellow'!H32,"")</x:f>
        <x:v>team-4</x:v>
      </x:c>
    </x:row>
    <x:row r="144" ht="24" customHeight="1">
      <x:c r="A144" s="8" t="str">
        <x:f>IF(Instructions!$C$40="Yes",IF('Yellow'!F33="","",'Yellow'!F33),"")</x:f>
        <x:v>Yellow</x:v>
      </x:c>
      <x:c r="B144" s="8" t="str">
        <x:f>IF(Instructions!$C$40="Yes",IF('Yellow'!A33="","",'Yellow'!A33),"")</x:f>
        <x:v>Newton</x:v>
      </x:c>
      <x:c r="C144" s="8" t="str">
        <x:f>IF(Instructions!$C$40="Yes",IF('Yellow'!B33="","",'Yellow'!B33),"")</x:f>
        <x:v>Not opened</x:v>
      </x:c>
      <x:c r="D144" s="18" t="str">
        <x:f>IF(Instructions!$C$40="Yes",IF('Yellow'!C33="","",'Yellow'!C33),"")</x:f>
      </x:c>
      <x:c r="E144" s="20" t="str">
        <x:f>IF(Instructions!$C$40="Yes",IF('Yellow'!G33="","",'Yellow'!G33),"")</x:f>
        <x:v>newton</x:v>
      </x:c>
      <x:c r="F144" t="str">
        <x:f>IF(Instructions!$C$40="Yes",'Yellow'!H33,"")</x:f>
        <x:v>team-4</x:v>
      </x:c>
    </x:row>
    <x:row r="145" ht="24" customHeight="1">
      <x:c r="A145" s="8" t="str">
        <x:f>IF(Instructions!$C$40="Yes",IF('Yellow'!F34="","",'Yellow'!F34),"")</x:f>
        <x:v>Yellow</x:v>
      </x:c>
      <x:c r="B145" s="8" t="str">
        <x:f>IF(Instructions!$C$40="Yes",IF('Yellow'!A34="","",'Yellow'!A34),"")</x:f>
        <x:v>Quincy</x:v>
      </x:c>
      <x:c r="C145" s="8" t="str">
        <x:f>IF(Instructions!$C$40="Yes",IF('Yellow'!B34="","",'Yellow'!B34),"")</x:f>
        <x:v>Not opened</x:v>
      </x:c>
      <x:c r="D145" s="18" t="str">
        <x:f>IF(Instructions!$C$40="Yes",IF('Yellow'!C34="","",'Yellow'!C34),"")</x:f>
      </x:c>
      <x:c r="E145" s="20" t="str">
        <x:f>IF(Instructions!$C$40="Yes",IF('Yellow'!G34="","",'Yellow'!G34),"")</x:f>
        <x:v>quincy</x:v>
      </x:c>
      <x:c r="F145" t="str">
        <x:f>IF(Instructions!$C$40="Yes",'Yellow'!H34,"")</x:f>
        <x:v>team-4</x:v>
      </x:c>
    </x:row>
    <x:row r="146" ht="24" customHeight="1">
      <x:c r="A146" s="8" t="str">
        <x:f>IF(Instructions!$C$40="Yes",IF('Yellow'!F35="","",'Yellow'!F35),"")</x:f>
        <x:v>Yellow</x:v>
      </x:c>
      <x:c r="B146" s="8" t="str">
        <x:f>IF(Instructions!$C$40="Yes",IF('Yellow'!A35="","",'Yellow'!A35),"")</x:f>
        <x:v>Braintree</x:v>
      </x:c>
      <x:c r="C146" s="8" t="str">
        <x:f>IF(Instructions!$C$40="Yes",IF('Yellow'!B35="","",'Yellow'!B35),"")</x:f>
        <x:v>Not opened</x:v>
      </x:c>
      <x:c r="D146" s="18" t="str">
        <x:f>IF(Instructions!$C$40="Yes",IF('Yellow'!C35="","",'Yellow'!C35),"")</x:f>
      </x:c>
      <x:c r="E146" s="20" t="str">
        <x:f>IF(Instructions!$C$40="Yes",IF('Yellow'!G35="","",'Yellow'!G35),"")</x:f>
        <x:v>braintree</x:v>
      </x:c>
      <x:c r="F146" t="str">
        <x:f>IF(Instructions!$C$40="Yes",'Yellow'!H35,"")</x:f>
        <x:v>team-4</x:v>
      </x:c>
    </x:row>
    <x:row r="147" ht="24" customHeight="1">
      <x:c r="A147" s="8" t="str">
        <x:f>IF(Instructions!$C$40="Yes",IF('Yellow'!F36="","",'Yellow'!F36),"")</x:f>
        <x:v>Yellow</x:v>
      </x:c>
      <x:c r="B147" s="8" t="str">
        <x:f>IF(Instructions!$C$40="Yes",IF('Yellow'!A36="","",'Yellow'!A36),"")</x:f>
        <x:v>Winthrop</x:v>
      </x:c>
      <x:c r="C147" s="8" t="str">
        <x:f>IF(Instructions!$C$40="Yes",IF('Yellow'!B36="","",'Yellow'!B36),"")</x:f>
        <x:v>Not opened</x:v>
      </x:c>
      <x:c r="D147" s="18" t="str">
        <x:f>IF(Instructions!$C$40="Yes",IF('Yellow'!C36="","",'Yellow'!C36),"")</x:f>
      </x:c>
      <x:c r="E147" s="20" t="str">
        <x:f>IF(Instructions!$C$40="Yes",IF('Yellow'!G36="","",'Yellow'!G36),"")</x:f>
        <x:v>winthrop</x:v>
      </x:c>
      <x:c r="F147" t="str">
        <x:f>IF(Instructions!$C$40="Yes",'Yellow'!H36,"")</x:f>
        <x:v>team-4</x:v>
      </x:c>
    </x:row>
    <x:row r="148" ht="24" customHeight="1">
      <x:c r="A148" s="8" t="str">
        <x:f>IF(Instructions!$C$40="Yes",IF('Yellow'!F37="","",'Yellow'!F37),"")</x:f>
        <x:v>Yellow</x:v>
      </x:c>
      <x:c r="B148" s="8" t="str">
        <x:f>IF(Instructions!$C$40="Yes",IF('Yellow'!A37="","",'Yellow'!A37),"")</x:f>
        <x:v>Milton</x:v>
      </x:c>
      <x:c r="C148" s="8" t="str">
        <x:f>IF(Instructions!$C$40="Yes",IF('Yellow'!B37="","",'Yellow'!B37),"")</x:f>
        <x:v>Not opened</x:v>
      </x:c>
      <x:c r="D148" s="18" t="str">
        <x:f>IF(Instructions!$C$40="Yes",IF('Yellow'!C37="","",'Yellow'!C37),"")</x:f>
      </x:c>
      <x:c r="E148" s="20" t="str">
        <x:f>IF(Instructions!$C$40="Yes",IF('Yellow'!G37="","",'Yellow'!G37),"")</x:f>
        <x:v>milton</x:v>
      </x:c>
      <x:c r="F148" t="str">
        <x:f>IF(Instructions!$C$40="Yes",'Yellow'!H37,"")</x:f>
        <x:v>team-4</x:v>
      </x:c>
    </x:row>
    <x:row r="149" ht="24" customHeight="1">
      <x:c r="A149" s="8" t="str">
        <x:f>IF(Instructions!$C$40="Yes",IF('Yellow'!F38="","",'Yellow'!F38),"")</x:f>
        <x:v>Yellow</x:v>
      </x:c>
      <x:c r="B149" s="8" t="str">
        <x:f>IF(Instructions!$C$40="Yes",IF('Yellow'!A38="","",'Yellow'!A38),"")</x:f>
        <x:v>Longwood</x:v>
      </x:c>
      <x:c r="C149" s="8" t="str">
        <x:f>IF(Instructions!$C$40="Yes",IF('Yellow'!B38="","",'Yellow'!B38),"")</x:f>
        <x:v>Not opened</x:v>
      </x:c>
      <x:c r="D149" s="18" t="str">
        <x:f>IF(Instructions!$C$40="Yes",IF('Yellow'!C38="","",'Yellow'!C38),"")</x:f>
      </x:c>
      <x:c r="E149" s="20" t="str">
        <x:f>IF(Instructions!$C$40="Yes",IF('Yellow'!G38="","",'Yellow'!G38),"")</x:f>
        <x:v>longwood</x:v>
      </x:c>
      <x:c r="F149" t="str">
        <x:f>IF(Instructions!$C$40="Yes",'Yellow'!H38,"")</x:f>
        <x:v>team-4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7978B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30" hidden="0" customWidth="1"/>
    <x:col min="5" max="5" width="30" hidden="0" customWidth="1"/>
    <x:col min="6" max="6" width="18" hidden="1" customWidth="1"/>
    <x:col min="7" max="7" width="18" hidden="1" customWidth="1"/>
  </x:cols>
  <x:sheetData>
    <x:row r="1" ht="24" customHeight="1">
      <x:c r="A1" s="24"/>
      <x:c r="B1" s="24"/>
      <x:c r="C1" s="24"/>
      <x:c r="D1" s="24"/>
      <x:c r="E1" s="24"/>
    </x:row>
    <x:row r="2" ht="24" customHeight="1">
      <x:c r="A2" s="25" t="str">
        <x:v>INSTRUCTIONS AND GAME SETUP</x:v>
      </x:c>
      <x:c r="B2" s="24"/>
      <x:c r="C2" s="24"/>
      <x:c r="D2" s="24"/>
      <x:c r="E2" s="24"/>
    </x:row>
    <x:row r="3" ht="24" customHeight="1">
      <x:c r="A3" s="24"/>
      <x:c r="B3" s="24"/>
      <x:c r="C3" s="24"/>
      <x:c r="D3" s="24"/>
      <x:c r="E3" s="24"/>
    </x:row>
    <x:row r="4" ht="24" customHeight="1">
      <x:c r="A4" s="24"/>
      <x:c r="B4" s="24"/>
      <x:c r="C4" s="24"/>
      <x:c r="D4" s="24"/>
      <x:c r="E4" s="24"/>
    </x:row>
    <x:row r="5" ht="42" customHeight="1">
      <x:c r="A5" s="27" t="str">
        <x:v>Upload</x:v>
      </x:c>
      <x:c r="B5" s="28" t="str">
        <x:v>In Google Sheets, create a blank sheet, then File → Import → Upload this .xlsx. Choose Replace spreadsheet.</x:v>
      </x:c>
      <x:c r="C5" s="28"/>
      <x:c r="D5" s="28"/>
      <x:c r="E5" s="28"/>
    </x:row>
    <x:row r="6" ht="42" customHeight="1">
      <x:c r="A6" s="27" t="str">
        <x:v>Players</x:v>
      </x:c>
      <x:c r="B6" s="28" t="str">
        <x:v>Share the sheet with friends as Editors. Public website readers do not need editing access.</x:v>
      </x:c>
      <x:c r="C6" s="28"/>
      <x:c r="D6" s="28"/>
      <x:c r="E6" s="28"/>
    </x:row>
    <x:row r="7" ht="42" customHeight="1">
      <x:c r="A7" s="27" t="str">
        <x:v>Website data</x:v>
      </x:c>
      <x:c r="B7" s="28" t="str">
        <x:v>The website reads Ownership, History, and the team settings on Instructions.</x:v>
      </x:c>
      <x:c r="C7" s="28"/>
      <x:c r="D7" s="28"/>
      <x:c r="E7" s="28"/>
    </x:row>
    <x:row r="8" ht="42" customHeight="1">
      <x:c r="A8" s="27" t="str">
        <x:v>Publish</x:v>
      </x:c>
      <x:c r="B8" s="28" t="str">
        <x:v>Allow public viewing, keeping editing restricted to players. Published CSV feeds are also supported.</x:v>
      </x:c>
      <x:c r="C8" s="28"/>
      <x:c r="D8" s="28"/>
      <x:c r="E8" s="28"/>
    </x:row>
    <x:row r="9" ht="42" customHeight="1">
      <x:c r="A9" s="27" t="str">
        <x:v>Connect</x:v>
      </x:c>
      <x:c r="B9" s="28" t="str">
        <x:v>Send the new Google Sheet link. Team settings are read from Instructions!A37:F41.</x:v>
      </x:c>
      <x:c r="C9" s="28"/>
      <x:c r="D9" s="28"/>
      <x:c r="E9" s="28"/>
    </x:row>
    <x:row r="10" ht="42" customHeight="1">
      <x:c r="A10" s="27" t="str">
        <x:v>Dropdowns</x:v>
      </x:c>
      <x:c r="B10" s="28" t="str">
        <x:v>Ownership: Claimed By and Locked By. Team tabs: status. Delete a team cell to clear it.</x:v>
      </x:c>
      <x:c r="C10" s="28"/>
      <x:c r="D10" s="28"/>
      <x:c r="E10" s="28"/>
    </x:row>
    <x:row r="11" ht="42" customHeight="1">
      <x:c r="A11" s="27" t="str">
        <x:v>Import check</x:v>
      </x:c>
      <x:c r="B11" s="28" t="str">
        <x:v>After upload, check that dropdowns and formulas survived the Google Sheets conversion.</x:v>
      </x:c>
      <x:c r="C11" s="28"/>
      <x:c r="D11" s="28"/>
      <x:c r="E11" s="28"/>
    </x:row>
    <x:row r="12" ht="42" customHeight="1">
      <x:c r="A12" s="27" t="str">
        <x:v>Ownership</x:v>
      </x:c>
      <x:c r="B12" s="28" t="str">
        <x:v>Locked By overrides Claimed By. Do not change a locked owner after the territory is secured.</x:v>
      </x:c>
      <x:c r="C12" s="28"/>
      <x:c r="D12" s="28"/>
      <x:c r="E12" s="28"/>
    </x:row>
    <x:row r="13" ht="42" customHeight="1">
      <x:c r="A13" s="27" t="str">
        <x:v>Challenge order</x:v>
      </x:c>
      <x:c r="B13" s="28" t="str">
        <x:v>Use the next reveal number on your team tab. Keep the original number for all retries.</x:v>
      </x:c>
      <x:c r="C13" s="28"/>
      <x:c r="D13" s="28"/>
      <x:c r="E13" s="28"/>
    </x:row>
    <x:row r="14" ht="42" customHeight="1">
      <x:c r="A14" s="27" t="str">
        <x:v>One active card</x:v>
      </x:c>
      <x:c r="B14" s="28" t="str">
        <x:v>Use Active for one challenge only. Finish it or mark Failed / Abandoned before the next reveal.</x:v>
      </x:c>
      <x:c r="C14" s="28"/>
      <x:c r="D14" s="28"/>
      <x:c r="E14" s="28"/>
    </x:row>
    <x:row r="15" ht="42" customHeight="1">
      <x:c r="A15" s="27" t="str">
        <x:v>Retries</x:v>
      </x:c>
      <x:c r="B15" s="28" t="str">
        <x:v>A failed card may be retried only if the card permits it and no later card has been opened.</x:v>
      </x:c>
      <x:c r="C15" s="28"/>
      <x:c r="D15" s="28"/>
      <x:c r="E15" s="28"/>
    </x:row>
    <x:row r="16" ht="42" customHeight="1">
      <x:c r="A16" s="27" t="str">
        <x:v>Warnings</x:v>
      </x:c>
      <x:c r="B16" s="28" t="str">
        <x:v>Warnings remind players; this honor-system template does not prevent every invalid edit.</x:v>
      </x:c>
      <x:c r="C16" s="28"/>
      <x:c r="D16" s="28"/>
      <x:c r="E16" s="28"/>
    </x:row>
    <x:row r="17" ht="42" customHeight="1">
      <x:c r="A17" s="27" t="str">
        <x:v>Formula cells</x:v>
      </x:c>
      <x:c r="B17" s="28" t="str">
        <x:v>Green cells are calculated. Do not edit Current Owner, State, Entry Warning, Retry Guidance, or History.</x:v>
      </x:c>
      <x:c r="C17" s="28"/>
      <x:c r="D17" s="28"/>
      <x:c r="E17" s="28"/>
    </x:row>
    <x:row r="18" ht="42" customHeight="1">
      <x:c r="A18" s="27" t="str">
        <x:v>Hidden columns</x:v>
      </x:c>
      <x:c r="B18" s="28" t="str">
        <x:v>Territory IDs and team helpers are hidden on the right. Keep them intact; they connect the website.</x:v>
      </x:c>
      <x:c r="C18" s="28"/>
      <x:c r="D18" s="28"/>
      <x:c r="E18" s="28"/>
    </x:row>
    <x:row r="19" ht="42" customHeight="1">
      <x:c r="A19" s="27" t="str">
        <x:v>Demo reset</x:v>
      </x:c>
      <x:c r="B19" s="28" t="str">
        <x:v>Clear Ownership B2:C38 before playing. The sample claims and locks are fictional.</x:v>
      </x:c>
      <x:c r="C19" s="28"/>
      <x:c r="D19" s="28"/>
      <x:c r="E19" s="28"/>
    </x:row>
    <x:row r="20" ht="42" customHeight="1">
      <x:c r="A20" s="27" t="str">
        <x:v>Headings</x:v>
      </x:c>
      <x:c r="B20" s="28" t="str">
        <x:v>Capitalization, spaces, hyphens and underscores are supported. Keep the same words in the headings.</x:v>
      </x:c>
      <x:c r="C20" s="28"/>
      <x:c r="D20" s="28"/>
      <x:c r="E20" s="28"/>
    </x:row>
    <x:row r="21" ht="42" customHeight="1">
      <x:c r="A21" s="27" t="str">
        <x:v>Sorting</x:v>
      </x:c>
      <x:c r="B21" s="28" t="str">
        <x:v>Keep History automatic. If sorting a team tab, sort the full A:G table, not a single column.</x:v>
      </x:c>
      <x:c r="C21" s="28"/>
      <x:c r="D21" s="28"/>
      <x:c r="E21" s="28"/>
    </x:row>
    <x:row r="22" ht="42" customHeight="1">
      <x:c r="A22" s="27" t="str">
        <x:v>Team count</x:v>
      </x:c>
      <x:c r="B22" s="28" t="str">
        <x:v>Instructions B33 selects 2–4 teams. Dropdowns, overview and History update automatically.</x:v>
      </x:c>
      <x:c r="C22" s="28"/>
      <x:c r="D22" s="28"/>
      <x:c r="E22" s="28"/>
    </x:row>
    <x:row r="23" ht="42" customHeight="1">
      <x:c r="A23" s="27" t="str">
        <x:v>Challenges</x:v>
      </x:c>
      <x:c r="B23" s="28" t="str">
        <x:v>Keep challenge text on the website, rather than in this public workbook.</x:v>
      </x:c>
      <x:c r="C23" s="28"/>
      <x:c r="D23" s="28"/>
      <x:c r="E23" s="28"/>
    </x:row>
    <x:row r="24" ht="42" customHeight="1">
      <x:c r="A24" s="27" t="str">
        <x:v>Refresh</x:v>
      </x:c>
      <x:c r="B24" s="28" t="str">
        <x:v>Published Google feeds may cache edits. The website polls periodically, not instantly.</x:v>
      </x:c>
      <x:c r="C24" s="28"/>
      <x:c r="D24" s="28"/>
      <x:c r="E24" s="28"/>
    </x:row>
    <x:row r="25" ht="42" customHeight="1">
      <x:c r="A25" s="27" t="str">
        <x:v>Game board</x:v>
      </x:c>
      <x:c r="B25" s="28" t="str">
        <x:v>37 areas: 24 Boston neighborhoods and 13 surrounding municipalities.</x:v>
      </x:c>
      <x:c r="C25" s="28"/>
      <x:c r="D25" s="28"/>
      <x:c r="E25" s="28"/>
    </x:row>
    <x:row r="26" ht="42" customHeight="1">
      <x:c r="A26" s="27" t="str">
        <x:v>Source</x:v>
      </x:c>
      <x:c r="B26" s="28" t="str">
        <x:v>Territory names and game rules provided by Ansel in this chat. Boundaries remain draft.</x:v>
      </x:c>
      <x:c r="C26" s="28"/>
      <x:c r="D26" s="28"/>
      <x:c r="E26" s="28"/>
    </x:row>
    <x:row r="27" ht="42" customHeight="1">
      <x:c r="A27" s="27" t="str">
        <x:v>Repository</x:v>
      </x:c>
      <x:c r="B27" s="28" t="str">
        <x:v>https://github.com/anselgl/jetlagboston</x:v>
      </x:c>
      <x:c r="C27" s="28"/>
      <x:c r="D27" s="28"/>
      <x:c r="E27" s="28"/>
    </x:row>
    <x:row r="28" ht="24" customHeight="1">
      <x:c r="A28" s="24"/>
      <x:c r="B28" s="24"/>
      <x:c r="C28" s="24"/>
      <x:c r="D28" s="24"/>
      <x:c r="E28" s="24"/>
    </x:row>
    <x:row r="29" ht="24" customHeight="1">
      <x:c r="A29" s="24"/>
      <x:c r="B29" s="24"/>
      <x:c r="C29" s="24"/>
      <x:c r="D29" s="24"/>
      <x:c r="E29" s="24"/>
    </x:row>
    <x:row r="30">
      <x:c r="A30" s="24"/>
      <x:c r="B30" s="24"/>
      <x:c r="C30" s="24"/>
      <x:c r="D30" s="24"/>
      <x:c r="E30" s="24"/>
    </x:row>
    <x:row r="31" ht="28" customHeight="1">
      <x:c r="A31" s="30" t="str">
        <x:v>GAME SETUP</x:v>
      </x:c>
      <x:c r="B31" s="30"/>
      <x:c r="C31" s="30"/>
      <x:c r="D31" s="30"/>
      <x:c r="E31" s="30"/>
    </x:row>
    <x:row r="32">
      <x:c r="A32" s="24"/>
      <x:c r="B32" s="24"/>
      <x:c r="C32" s="24"/>
      <x:c r="D32" s="24"/>
      <x:c r="E32" s="24"/>
    </x:row>
    <x:row r="33">
      <x:c r="A33" s="24" t="str">
        <x:v>Number of teams</x:v>
      </x:c>
      <x:c r="B33" s="31" t="n">
        <x:v>4</x:v>
      </x:c>
      <x:c r="C33" s="24"/>
      <x:c r="D33" s="24"/>
      <x:c r="E33" s="24"/>
    </x:row>
    <x:row r="34">
      <x:c r="A34" s="24"/>
      <x:c r="B34" s="24"/>
      <x:c r="C34" s="24"/>
      <x:c r="D34" s="24"/>
      <x:c r="E34" s="24"/>
    </x:row>
    <x:row r="35">
      <x:c r="A35" s="24" t="str">
        <x:v>Edit yellow cells. Keep team rows and challenge tab names in their original order.</x:v>
      </x:c>
      <x:c r="B35" s="24"/>
      <x:c r="C35" s="24"/>
      <x:c r="D35" s="24"/>
      <x:c r="E35" s="24"/>
    </x:row>
    <x:row r="36">
      <x:c r="A36" s="24"/>
      <x:c r="B36" s="24"/>
      <x:c r="C36" s="24"/>
      <x:c r="D36" s="24"/>
      <x:c r="E36" s="24"/>
    </x:row>
    <x:row r="37" ht="28" customHeight="1">
      <x:c r="A37" s="30" t="str">
        <x:v>Team</x:v>
      </x:c>
      <x:c r="B37" s="30" t="str">
        <x:v>Color</x:v>
      </x:c>
      <x:c r="C37" s="30" t="str">
        <x:v>Enabled</x:v>
      </x:c>
      <x:c r="D37" s="30" t="str">
        <x:v>Aliases</x:v>
      </x:c>
      <x:c r="E37" s="30" t="str">
        <x:v>Slot</x:v>
      </x:c>
      <x:c r="F37" t="str">
        <x:v>Team ID</x:v>
      </x:c>
      <x:c r="G37" t="str">
        <x:v>Active Dropdown</x:v>
      </x:c>
    </x:row>
    <x:row r="38" ht="28" customHeight="1">
      <x:c r="A38" s="31" t="str">
        <x:v>Blue</x:v>
      </x:c>
      <x:c r="B38" s="31" t="str">
        <x:v>#2273E5</x:v>
      </x:c>
      <x:c r="C38" s="32" t="str">
        <x:f>IF($B$33&gt;=1,"Yes","No")</x:f>
        <x:v>Yes</x:v>
      </x:c>
      <x:c r="D38" s="31"/>
      <x:c r="E38" s="24" t="str">
        <x:v>Team 1</x:v>
      </x:c>
      <x:c r="F38" t="str">
        <x:v>team-1</x:v>
      </x:c>
      <x:c r="G38" t="str">
        <x:f>IF(C38="Yes",E38,"")</x:f>
        <x:v>Team 1</x:v>
      </x:c>
    </x:row>
    <x:row r="39" ht="28" customHeight="1">
      <x:c r="A39" s="31" t="str">
        <x:v>Red</x:v>
      </x:c>
      <x:c r="B39" s="31" t="str">
        <x:v>#EC4F39</x:v>
      </x:c>
      <x:c r="C39" s="32" t="str">
        <x:f>IF($B$33&gt;=2,"Yes","No")</x:f>
        <x:v>Yes</x:v>
      </x:c>
      <x:c r="D39" s="31"/>
      <x:c r="E39" s="24" t="str">
        <x:v>Team 2</x:v>
      </x:c>
      <x:c r="F39" t="str">
        <x:v>team-2</x:v>
      </x:c>
      <x:c r="G39" t="str">
        <x:f>IF(C39="Yes",E39,"")</x:f>
        <x:v>Team 2</x:v>
      </x:c>
    </x:row>
    <x:row r="40" ht="28" customHeight="1">
      <x:c r="A40" s="31" t="str">
        <x:v>Yellow</x:v>
      </x:c>
      <x:c r="B40" s="31" t="str">
        <x:v>#F3CE3E</x:v>
      </x:c>
      <x:c r="C40" s="32" t="str">
        <x:f>IF($B$33&gt;=3,"Yes","No")</x:f>
        <x:v>Yes</x:v>
      </x:c>
      <x:c r="D40" s="31"/>
      <x:c r="E40" s="24" t="str">
        <x:v>Team 3</x:v>
      </x:c>
      <x:c r="F40" t="str">
        <x:v>team-4</x:v>
      </x:c>
      <x:c r="G40" t="str">
        <x:f>IF(C40="Yes",E40,"")</x:f>
        <x:v>Team 3</x:v>
      </x:c>
    </x:row>
    <x:row r="41" ht="28" customHeight="1">
      <x:c r="A41" s="31" t="str">
        <x:v>Green</x:v>
      </x:c>
      <x:c r="B41" s="31" t="str">
        <x:v>#25835B</x:v>
      </x:c>
      <x:c r="C41" s="32" t="str">
        <x:f>IF($B$33&gt;=4,"Yes","No")</x:f>
        <x:v>Yes</x:v>
      </x:c>
      <x:c r="D41" s="31"/>
      <x:c r="E41" s="24" t="str">
        <x:v>Team 4</x:v>
      </x:c>
      <x:c r="F41" t="str">
        <x:v>team-3</x:v>
      </x:c>
      <x:c r="G41" t="str">
        <x:f>IF(C41="Yes",E41,"")</x:f>
        <x:v>Team 4</x:v>
      </x:c>
    </x:row>
    <x:row r="42">
      <x:c r="A42" s="24"/>
      <x:c r="B42" s="24"/>
      <x:c r="C42" s="24"/>
      <x:c r="D42" s="24"/>
      <x:c r="E42" s="24"/>
    </x:row>
    <x:row r="43">
      <x:c r="A43" s="24" t="str">
        <x:v>Colors use hexadecimal #RRGGBB codes, for example #F3CE3E for yellow.</x:v>
      </x:c>
      <x:c r="B43" s="24"/>
      <x:c r="C43" s="24"/>
      <x:c r="D43" s="24"/>
      <x:c r="E43" s="24"/>
    </x:row>
    <x:row r="44">
      <x:c r="A44" s="24" t="str">
        <x:v>Aliases: previous custom team names, separated by |. Leave blank if not needed.</x:v>
      </x:c>
      <x:c r="B44" s="24"/>
      <x:c r="C44" s="24"/>
      <x:c r="D44" s="24"/>
      <x:c r="E44" s="24"/>
    </x:row>
    <x:row r="45">
      <x:c r="A45" s="24" t="str">
        <x:v>The first N teams are enabled. Choose the count before starting a new game.</x:v>
      </x:c>
      <x:c r="B45" s="24"/>
      <x:c r="C45" s="24"/>
      <x:c r="D45" s="24"/>
      <x:c r="E45" s="24"/>
    </x:row>
    <x:row r="46">
      <x:c r="A46" t="str">
        <x:v>Gameplay dropdowns use fixed slots (Team 1–4). Current Owner shows the team name.</x:v>
      </x:c>
    </x:row>
  </x:sheetData>
  <x:mergeCells>
    <x:mergeCell ref="A2:E2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A31:E31"/>
    <x:mergeCell ref="A35:E35"/>
    <x:mergeCell ref="A43:E43"/>
    <x:mergeCell ref="A44:E44"/>
    <x:mergeCell ref="A45:E45"/>
    <x:mergeCell ref="A46:E46"/>
  </x:mergeCells>
  <x:dataValidations count="1">
    <x:dataValidation type="list" sqref="B33">
      <x:formula1>"2,3,4"</x:formula1>
    </x:dataValidation>
  </x:dataValidations>
  <x:pageMargins left="0.7" right="0.7" top="0.75" bottom="0.75" header="0.3" footer="0.3"/>
</x:worksheet>
</file>