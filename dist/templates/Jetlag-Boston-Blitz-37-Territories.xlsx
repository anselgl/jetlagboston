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631ca4bb9746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me overview" sheetId="1" r:id="R92f62d9cd19a4213"/>
    <x:sheet xmlns:r="http://schemas.openxmlformats.org/officeDocument/2006/relationships" name="Ownership" sheetId="2" r:id="Rdbf64fb0ca294c6d"/>
    <x:sheet xmlns:r="http://schemas.openxmlformats.org/officeDocument/2006/relationships" name="Setup" sheetId="3" r:id="R2e831553d7e44919"/>
    <x:sheet xmlns:r="http://schemas.openxmlformats.org/officeDocument/2006/relationships" name="Teams" sheetId="4" r:id="R15e6d411d319415d"/>
    <x:sheet xmlns:r="http://schemas.openxmlformats.org/officeDocument/2006/relationships" name="Blue" sheetId="5" r:id="Rd9c0412b8ad64e3a"/>
    <x:sheet xmlns:r="http://schemas.openxmlformats.org/officeDocument/2006/relationships" name="Red" sheetId="6" r:id="R299d731e3b8e45f3"/>
    <x:sheet xmlns:r="http://schemas.openxmlformats.org/officeDocument/2006/relationships" name="Green" sheetId="7" r:id="Rf43c9383512f43eb"/>
    <x:sheet xmlns:r="http://schemas.openxmlformats.org/officeDocument/2006/relationships" name="Purple" sheetId="8" r:id="Rbd4710fd6f51401e"/>
    <x:sheet xmlns:r="http://schemas.openxmlformats.org/officeDocument/2006/relationships" name="History" sheetId="9" r:id="R6c58ba0f70454653"/>
    <x:sheet xmlns:r="http://schemas.openxmlformats.org/officeDocument/2006/relationships" name="Instructions" sheetId="10" r:id="R43fc4131b53748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sz val="11"/>
      <x:color rgb="FF142E2B"/>
      <x:name val="Arial"/>
    </x:font>
    <x:font>
      <x:b/>
      <x:sz val="16"/>
      <x:color rgb="FF142E2B"/>
      <x:name val="Arial"/>
    </x:font>
    <x:font>
      <x:b/>
      <x:sz val="11"/>
      <x:color rgb="FFFFFFFF"/>
      <x:name val="Arial"/>
    </x:font>
    <x:font>
      <x:b/>
      <x:sz val="11"/>
      <x:color rgb="FF142E2B"/>
      <x:name val="Arial"/>
    </x:font>
    <x:font>
      <x:sz val="11"/>
      <x:color rgb="FF2273E5"/>
      <x:name val="Arial"/>
    </x:font>
    <x:font>
      <x:sz val="11"/>
      <x:color rgb="FFEC4F39"/>
      <x:name val="Arial"/>
    </x:font>
    <x:font>
      <x:sz val="11"/>
      <x:color rgb="FF25835B"/>
      <x:name val="Arial"/>
    </x:font>
    <x:font>
      <x:sz val="11"/>
      <x:color rgb="FF8055C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42E2B"/>
      </x:patternFill>
    </x:fill>
    <x:fill>
      <x:patternFill patternType="solid">
        <x:fgColor rgb="FFE9ED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0"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2273E5"/>
      </x:font>
      <x:fill>
        <x:patternFill patternType="solid">
          <x:bgColor rgb="FFE9EDDF"/>
        </x:patternFill>
      </x:fill>
    </x:dxf>
    <x:dxf>
      <x:font>
        <x:b/>
        <x:color rgb="FFEC4F39"/>
      </x:font>
      <x:fill>
        <x:patternFill patternType="solid">
          <x:bgColor rgb="FFE9EDDF"/>
        </x:patternFill>
      </x:fill>
    </x:dxf>
    <x:dxf>
      <x:font>
        <x:b/>
        <x:color rgb="FF25835B"/>
      </x:font>
      <x:fill>
        <x:patternFill patternType="solid">
          <x:bgColor rgb="FFE9EDDF"/>
        </x:patternFill>
      </x:fill>
    </x:dxf>
    <x:dxf>
      <x:font>
        <x:b/>
        <x:color rgb="FF8055C9"/>
      </x:font>
      <x:fill>
        <x:patternFill patternType="solid">
          <x:bgColor rgb="FFE9EDDF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</x:font>
      <x:fill>
        <x:patternFill patternType="solid">
          <x:bgColor rgb="FFF3CE3E"/>
        </x:patternFill>
      </x:fill>
    </x:dxf>
    <x:dxf>
      <x:fill>
        <x:patternFill patternType="solid">
          <x:bgColor rgb="FFFBE1DE"/>
        </x:patternFill>
      </x:fill>
    </x:dxf>
    <x:dxf>
      <x:fill>
        <x:patternFill patternType="solid">
          <x:bgColor rgb="FFD9EAD3"/>
        </x:patternFill>
      </x:fill>
    </x:dxf>
    <x:dxf>
      <x:font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</x:font>
      <x:fill>
        <x:patternFill patternType="solid">
          <x:bgColor rgb="FFF3CE3E"/>
        </x:patternFill>
      </x:fill>
    </x:dxf>
    <x:dxf>
      <x:fill>
        <x:patternFill patternType="solid">
          <x:bgColor rgb="FFFBE1DE"/>
        </x:patternFill>
      </x:fill>
    </x:dxf>
    <x:dxf>
      <x:fill>
        <x:patternFill patternType="solid">
          <x:bgColor rgb="FFD9EAD3"/>
        </x:patternFill>
      </x:fill>
    </x:dxf>
    <x:dxf>
      <x:font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</x:font>
      <x:fill>
        <x:patternFill patternType="solid">
          <x:bgColor rgb="FFF3CE3E"/>
        </x:patternFill>
      </x:fill>
    </x:dxf>
    <x:dxf>
      <x:fill>
        <x:patternFill patternType="solid">
          <x:bgColor rgb="FFFBE1DE"/>
        </x:patternFill>
      </x:fill>
    </x:dxf>
    <x:dxf>
      <x:fill>
        <x:patternFill patternType="solid">
          <x:bgColor rgb="FFD9EAD3"/>
        </x:patternFill>
      </x:fill>
    </x:dxf>
    <x:dxf>
      <x:font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  <x:dxf>
      <x:font>
        <x:b/>
      </x:font>
      <x:fill>
        <x:patternFill patternType="solid">
          <x:bgColor rgb="FFF3CE3E"/>
        </x:patternFill>
      </x:fill>
    </x:dxf>
    <x:dxf>
      <x:fill>
        <x:patternFill patternType="solid">
          <x:bgColor rgb="FFFBE1DE"/>
        </x:patternFill>
      </x:fill>
    </x:dxf>
    <x:dxf>
      <x:fill>
        <x:patternFill patternType="solid">
          <x:bgColor rgb="FFD9EAD3"/>
        </x:patternFill>
      </x:fill>
    </x:dxf>
    <x:dxf>
      <x:font>
        <x:color rgb="FF982B22"/>
      </x:font>
      <x:fill>
        <x:patternFill patternType="solid">
          <x:bgColor rgb="FFFBE1DE"/>
        </x:patternFill>
      </x:fill>
    </x:dxf>
    <x:dxf>
      <x:font>
        <x:b/>
        <x:color rgb="FF982B22"/>
      </x:font>
      <x:fill>
        <x:patternFill patternType="solid">
          <x:bgColor rgb="FFFBE1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28862dcf90409d" /><Relationship Type="http://schemas.openxmlformats.org/officeDocument/2006/relationships/theme" Target="/xl/theme/theme1.xml" Id="R7ce82578c2ab4ebd" /><Relationship Type="http://schemas.openxmlformats.org/officeDocument/2006/relationships/sharedStrings" Target="/xl/sharedStrings.xml" Id="R806b0d2c01d04752" /><Relationship Type="http://schemas.openxmlformats.org/officeDocument/2006/relationships/worksheet" Target="/xl/worksheets/sheet1.xml" Id="R92f62d9cd19a4213" /><Relationship Type="http://schemas.openxmlformats.org/officeDocument/2006/relationships/worksheet" Target="/xl/worksheets/sheet2.xml" Id="Rdbf64fb0ca294c6d" /><Relationship Type="http://schemas.openxmlformats.org/officeDocument/2006/relationships/worksheet" Target="/xl/worksheets/sheet3.xml" Id="R2e831553d7e44919" /><Relationship Type="http://schemas.openxmlformats.org/officeDocument/2006/relationships/worksheet" Target="/xl/worksheets/sheet4.xml" Id="R15e6d411d319415d" /><Relationship Type="http://schemas.openxmlformats.org/officeDocument/2006/relationships/worksheet" Target="/xl/worksheets/sheet5.xml" Id="Rd9c0412b8ad64e3a" /><Relationship Type="http://schemas.openxmlformats.org/officeDocument/2006/relationships/worksheet" Target="/xl/worksheets/sheet6.xml" Id="R299d731e3b8e45f3" /><Relationship Type="http://schemas.openxmlformats.org/officeDocument/2006/relationships/worksheet" Target="/xl/worksheets/sheet7.xml" Id="Rf43c9383512f43eb" /><Relationship Type="http://schemas.openxmlformats.org/officeDocument/2006/relationships/worksheet" Target="/xl/worksheets/sheet8.xml" Id="Rbd4710fd6f51401e" /><Relationship Type="http://schemas.openxmlformats.org/officeDocument/2006/relationships/worksheet" Target="/xl/worksheets/sheet9.xml" Id="R6c58ba0f70454653" /><Relationship Type="http://schemas.openxmlformats.org/officeDocument/2006/relationships/worksheet" Target="/xl/worksheets/sheet10.xml" Id="R43fc4131b53748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42E2B"/>
  </x:sheetPr>
  <x:sheetViews>
    <x:sheetView showGridLines="0" workbookViewId="0"/>
  </x:sheetViews>
  <x:sheetFormatPr defaultRowHeight="15"/>
  <x:cols>
    <x:col min="1" max="1" width="28.1299991607666" hidden="0" customWidth="1"/>
    <x:col min="2" max="2" width="20" hidden="0" customWidth="1"/>
    <x:col min="3" max="3" width="11.880000114440918" hidden="0" customWidth="1"/>
    <x:col min="4" max="4" width="15.630000114440918" hidden="0" customWidth="1"/>
    <x:col min="5" max="5" width="19.3799991607666" hidden="0" customWidth="1"/>
    <x:col min="6" max="6" width="43.130001068115234" hidden="0" customWidth="1"/>
  </x:cols>
  <x:sheetData>
    <x:row r="1" ht="24" customHeight="1">
      <x:c r="A1" s="8"/>
      <x:c r="B1" s="8"/>
      <x:c r="C1" s="8"/>
      <x:c r="D1" s="8"/>
      <x:c r="E1" s="8"/>
      <x:c r="F1" s="8"/>
      <x:c r="G1" s="8"/>
    </x:row>
    <x:row r="2" ht="24" customHeight="1">
      <x:c r="A2" s="9" t="str">
        <x:v>JETLAG: BOSTON BLITZ / GAME RECORD</x:v>
      </x:c>
      <x:c r="B2" s="8"/>
      <x:c r="C2" s="8"/>
      <x:c r="D2" s="8"/>
      <x:c r="E2" s="8"/>
      <x:c r="F2" s="8"/>
      <x:c r="G2" s="8"/>
    </x:row>
    <x:row r="3" ht="24" customHeight="1">
      <x:c r="A3" s="8" t="str">
        <x:v>Edit the yellow cells. Choose the team count on Setup before starting.</x:v>
      </x:c>
      <x:c r="B3" s="8"/>
      <x:c r="C3" s="8"/>
      <x:c r="D3" s="8"/>
      <x:c r="E3" s="8"/>
      <x:c r="F3" s="8"/>
      <x:c r="G3" s="8"/>
    </x:row>
    <x:row r="4" ht="24" customHeight="1">
      <x:c r="A4" s="8"/>
      <x:c r="B4" s="8"/>
      <x:c r="C4" s="8"/>
      <x:c r="D4" s="8"/>
      <x:c r="E4" s="8"/>
      <x:c r="F4" s="8"/>
      <x:c r="G4" s="8"/>
    </x:row>
    <x:row r="5" ht="30" customHeight="1">
      <x:c r="A5" s="12" t="str">
        <x:v>Team</x:v>
      </x:c>
      <x:c r="B5" s="12" t="str">
        <x:v>Claimed / unlocked</x:v>
      </x:c>
      <x:c r="C5" s="12" t="str">
        <x:v>Locked</x:v>
      </x:c>
      <x:c r="D5" s="12" t="str">
        <x:v>Total territories</x:v>
      </x:c>
      <x:c r="E5" s="12" t="str">
        <x:v>Active challenges</x:v>
      </x:c>
      <x:c r="F5" s="12" t="str">
        <x:v>Challenge status</x:v>
      </x:c>
      <x:c r="G5" s="8"/>
    </x:row>
    <x:row r="6" ht="24" customHeight="1">
      <x:c r="A6" s="14" t="str">
        <x:f>IF(Teams!C2="Yes",Teams!A2,"")</x:f>
        <x:v>Blue</x:v>
      </x:c>
      <x:c r="B6" s="18" t="n">
        <x:f>IF(A6="","",COUNTIFS(Ownership!$D$2:$D$38,A6,Ownership!$E$2:$E$38,"Claimed"))</x:f>
        <x:v>1</x:v>
      </x:c>
      <x:c r="C6" s="18" t="n">
        <x:f>IF(A6="","",COUNTIFS(Ownership!$C$2:$C$38,A6))</x:f>
        <x:v>1</x:v>
      </x:c>
      <x:c r="D6" s="18" t="n">
        <x:f>IF(A6="","",SUM(B6:C6))</x:f>
        <x:v>2</x:v>
      </x:c>
      <x:c r="E6" s="18" t="n">
        <x:f>IF(A6="","",COUNTIFS('Blue'!$B$2:$B$38,"Active"))</x:f>
        <x:v>0</x:v>
      </x:c>
      <x:c r="F6" s="8" t="str">
        <x:f>IF(A6="","Inactive team",IF(E6&gt;1,"WARNING: multiple active challenges",IF(COUNTIFS('Blue'!$D$2:$D$38,"?*")&gt;0,"Fix team-tab entries",IF(E6=1,"One challenge active","No active challenge"))))</x:f>
        <x:v>No active challenge</x:v>
      </x:c>
      <x:c r="G6" s="8"/>
    </x:row>
    <x:row r="7" ht="24" customHeight="1">
      <x:c r="A7" s="15" t="str">
        <x:f>IF(Teams!C3="Yes",Teams!A3,"")</x:f>
        <x:v>Red</x:v>
      </x:c>
      <x:c r="B7" s="18" t="n">
        <x:f>IF(A7="","",COUNTIFS(Ownership!$D$2:$D$38,A7,Ownership!$E$2:$E$38,"Claimed"))</x:f>
        <x:v>1</x:v>
      </x:c>
      <x:c r="C7" s="18" t="n">
        <x:f>IF(A7="","",COUNTIFS(Ownership!$C$2:$C$38,A7))</x:f>
        <x:v>2</x:v>
      </x:c>
      <x:c r="D7" s="18" t="n">
        <x:f>IF(A7="","",SUM(B7:C7))</x:f>
        <x:v>3</x:v>
      </x:c>
      <x:c r="E7" s="18" t="n">
        <x:f>IF(A7="","",COUNTIFS('Red'!$B$2:$B$38,"Active"))</x:f>
        <x:v>0</x:v>
      </x:c>
      <x:c r="F7" s="8" t="str">
        <x:f>IF(A7="","Inactive team",IF(E7&gt;1,"WARNING: multiple active challenges",IF(COUNTIFS('Red'!$D$2:$D$38,"?*")&gt;0,"Fix team-tab entries",IF(E7=1,"One challenge active","No active challenge"))))</x:f>
        <x:v>No active challenge</x:v>
      </x:c>
      <x:c r="G7" s="8"/>
    </x:row>
    <x:row r="8" ht="24" customHeight="1">
      <x:c r="A8" s="16" t="str">
        <x:f>IF(Teams!C4="Yes",Teams!A4,"")</x:f>
        <x:v>Green</x:v>
      </x:c>
      <x:c r="B8" s="18" t="n">
        <x:f>IF(A8="","",COUNTIFS(Ownership!$D$2:$D$38,A8,Ownership!$E$2:$E$38,"Claimed"))</x:f>
        <x:v>1</x:v>
      </x:c>
      <x:c r="C8" s="18" t="n">
        <x:f>IF(A8="","",COUNTIFS(Ownership!$C$2:$C$38,A8))</x:f>
        <x:v>1</x:v>
      </x:c>
      <x:c r="D8" s="18" t="n">
        <x:f>IF(A8="","",SUM(B8:C8))</x:f>
        <x:v>2</x:v>
      </x:c>
      <x:c r="E8" s="18" t="n">
        <x:f>IF(A8="","",COUNTIFS('Green'!$B$2:$B$38,"Active"))</x:f>
        <x:v>0</x:v>
      </x:c>
      <x:c r="F8" s="8" t="str">
        <x:f>IF(A8="","Inactive team",IF(E8&gt;1,"WARNING: multiple active challenges",IF(COUNTIFS('Green'!$D$2:$D$38,"?*")&gt;0,"Fix team-tab entries",IF(E8=1,"One challenge active","No active challenge"))))</x:f>
        <x:v>No active challenge</x:v>
      </x:c>
      <x:c r="G8" s="8"/>
    </x:row>
    <x:row r="9" ht="24" customHeight="1">
      <x:c r="A9" s="17" t="str">
        <x:f>IF(Teams!C5="Yes",Teams!A5,"")</x:f>
        <x:v>Purple</x:v>
      </x:c>
      <x:c r="B9" s="18" t="n">
        <x:f>IF(A9="","",COUNTIFS(Ownership!$D$2:$D$38,A9,Ownership!$E$2:$E$38,"Claimed"))</x:f>
        <x:v>1</x:v>
      </x:c>
      <x:c r="C9" s="18" t="n">
        <x:f>IF(A9="","",COUNTIFS(Ownership!$C$2:$C$38,A9))</x:f>
        <x:v>2</x:v>
      </x:c>
      <x:c r="D9" s="18" t="n">
        <x:f>IF(A9="","",SUM(B9:C9))</x:f>
        <x:v>3</x:v>
      </x:c>
      <x:c r="E9" s="18" t="n">
        <x:f>IF(A9="","",COUNTIFS('Purple'!$B$2:$B$38,"Active"))</x:f>
        <x:v>0</x:v>
      </x:c>
      <x:c r="F9" s="8" t="str">
        <x:f>IF(A9="","Inactive team",IF(E9&gt;1,"WARNING: multiple active challenges",IF(COUNTIFS('Purple'!$D$2:$D$38,"?*")&gt;0,"Fix team-tab entries",IF(E9=1,"One challenge active","No active challenge"))))</x:f>
        <x:v>No active challenge</x:v>
      </x:c>
      <x:c r="G9" s="8"/>
    </x:row>
    <x:row r="10" ht="24" customHeight="1">
      <x:c r="A10" s="8"/>
      <x:c r="B10" s="18"/>
      <x:c r="C10" s="18"/>
      <x:c r="D10" s="18"/>
      <x:c r="E10" s="18"/>
      <x:c r="F10" s="8"/>
      <x:c r="G10" s="8"/>
    </x:row>
    <x:row r="11" ht="24" customHeight="1">
      <x:c r="A11" s="8"/>
      <x:c r="B11" s="18"/>
      <x:c r="C11" s="18"/>
      <x:c r="D11" s="18"/>
      <x:c r="E11" s="18"/>
      <x:c r="F11" s="8"/>
      <x:c r="G11" s="8"/>
    </x:row>
    <x:row r="12" ht="24" customHeight="1">
      <x:c r="A12" s="8"/>
      <x:c r="B12" s="18"/>
      <x:c r="C12" s="18"/>
      <x:c r="D12" s="18"/>
      <x:c r="E12" s="18"/>
      <x:c r="F12" s="8"/>
      <x:c r="G12" s="8"/>
    </x:row>
    <x:row r="13" ht="24" customHeight="1">
      <x:c r="A13" s="8"/>
      <x:c r="B13" s="18"/>
      <x:c r="C13" s="18"/>
      <x:c r="D13" s="18"/>
      <x:c r="E13" s="18"/>
      <x:c r="F13" s="8"/>
      <x:c r="G13" s="8"/>
    </x:row>
    <x:row r="14" ht="24" customHeight="1">
      <x:c r="A14" s="8"/>
      <x:c r="B14" s="18"/>
      <x:c r="C14" s="18"/>
      <x:c r="D14" s="18"/>
      <x:c r="E14" s="18"/>
      <x:c r="F14" s="8"/>
      <x:c r="G14" s="8"/>
    </x:row>
    <x:row r="15" ht="24" customHeight="1">
      <x:c r="A15" s="8" t="str">
        <x:v>Unclaimed territories</x:v>
      </x:c>
      <x:c r="B15" s="18"/>
      <x:c r="C15" s="18"/>
      <x:c r="D15" s="18" t="n">
        <x:f>COUNTIFS(Ownership!$E$2:$E$38,"Unclaimed")</x:f>
        <x:v>27</x:v>
      </x:c>
      <x:c r="E15" s="18"/>
      <x:c r="F15" s="8"/>
      <x:c r="G15" s="8"/>
    </x:row>
    <x:row r="16" ht="24" customHeight="1">
      <x:c r="A16" s="8"/>
      <x:c r="B16" s="8"/>
      <x:c r="C16" s="8"/>
      <x:c r="D16" s="8"/>
      <x:c r="E16" s="8"/>
      <x:c r="F16" s="8"/>
      <x:c r="G16" s="8"/>
    </x:row>
    <x:row r="17" ht="24" customHeight="1">
      <x:c r="A17" s="13" t="str">
        <x:v>How to record a capture</x:v>
      </x:c>
      <x:c r="B17" s="8"/>
      <x:c r="C17" s="8"/>
      <x:c r="D17" s="8"/>
      <x:c r="E17" s="8"/>
      <x:c r="F17" s="8"/>
      <x:c r="G17" s="8"/>
    </x:row>
    <x:row r="18" ht="24" customHeight="1">
      <x:c r="A18" s="8" t="str">
        <x:v>1. Reach a public outdoor location inside the territory, after leaving transit.</x:v>
      </x:c>
      <x:c r="B18" s="8"/>
      <x:c r="C18" s="8"/>
      <x:c r="D18" s="8"/>
      <x:c r="E18" s="8"/>
      <x:c r="F18" s="8"/>
      <x:c r="G18" s="8"/>
    </x:row>
    <x:row r="19" ht="24" customHeight="1">
      <x:c r="A19" s="8" t="str">
        <x:v>2. Enter the first team in Ownership → Claimed By.</x:v>
      </x:c>
      <x:c r="B19" s="8"/>
      <x:c r="C19" s="8"/>
      <x:c r="D19" s="8"/>
      <x:c r="E19" s="8"/>
      <x:c r="F19" s="8"/>
      <x:c r="G19" s="8"/>
    </x:row>
    <x:row r="20" ht="24" customHeight="1">
      <x:c r="A20" s="8" t="str">
        <x:v>3. Record a new reveal number and Active status in your team tab when opening a card.</x:v>
      </x:c>
      <x:c r="B20" s="8"/>
      <x:c r="C20" s="8"/>
      <x:c r="D20" s="8"/>
      <x:c r="E20" s="8"/>
      <x:c r="F20" s="8"/>
      <x:c r="G20" s="8"/>
    </x:row>
    <x:row r="21" ht="24" customHeight="1">
      <x:c r="A21" s="8" t="str">
        <x:v>4. Finish or abandon your active card before opening another. Keep old reveal numbers.</x:v>
      </x:c>
      <x:c r="B21" s="8"/>
      <x:c r="C21" s="8"/>
      <x:c r="D21" s="8"/>
      <x:c r="E21" s="8"/>
      <x:c r="F21" s="8"/>
      <x:c r="G21" s="8"/>
    </x:row>
    <x:row r="22" ht="24" customHeight="1">
      <x:c r="A22" s="8" t="str">
        <x:v>5. Complete a challenge to lock or steal: enter the completing team in Locked By.</x:v>
      </x:c>
      <x:c r="B22" s="8"/>
      <x:c r="C22" s="8"/>
      <x:c r="D22" s="8"/>
      <x:c r="E22" s="8"/>
      <x:c r="F22" s="8"/>
      <x:c r="G22" s="8"/>
    </x:row>
    <x:row r="23" ht="24" customHeight="1">
      <x:c r="A23" s="8"/>
      <x:c r="B23" s="8"/>
      <x:c r="C23" s="8"/>
      <x:c r="D23" s="8"/>
      <x:c r="E23" s="8"/>
      <x:c r="F23" s="8"/>
      <x:c r="G23" s="8"/>
    </x:row>
    <x:row r="24" ht="24" customHeight="1">
      <x:c r="A24" s="8" t="str">
        <x:v>DEMO: sample claims and locks are included. Clear Ownership B2:C38 before playing.</x:v>
      </x:c>
      <x:c r="B24" s="8"/>
      <x:c r="C24" s="8"/>
      <x:c r="D24" s="8"/>
      <x:c r="E24" s="8"/>
      <x:c r="F24" s="8"/>
      <x:c r="G24" s="8"/>
    </x:row>
    <x:row r="25" ht="24" customHeight="1">
      <x:c r="A25" s="8" t="str">
        <x:v>Territory counts are shown; final scoring is not yet defined.</x:v>
      </x:c>
      <x:c r="B25" s="8"/>
      <x:c r="C25" s="8"/>
      <x:c r="D25" s="8"/>
      <x:c r="E25" s="8"/>
      <x:c r="F25" s="8"/>
      <x:c r="G25" s="8"/>
    </x:row>
    <x:row r="26" ht="24" customHeight="1">
      <x:c r="A26" s="8" t="str">
        <x:v>Select the number of teams on Setup before starting.</x:v>
      </x:c>
      <x:c r="B26" s="8"/>
      <x:c r="C26" s="8"/>
      <x:c r="D26" s="8"/>
      <x:c r="E26" s="8"/>
      <x:c r="F26" s="8"/>
      <x:c r="G26" s="8"/>
    </x:row>
    <x:row r="27" ht="24" customHeight="1">
      <x:c r="A27" s="8"/>
      <x:c r="B27" s="8"/>
      <x:c r="C27" s="8"/>
      <x:c r="D27" s="8"/>
      <x:c r="E27" s="8"/>
      <x:c r="F27" s="8"/>
      <x:c r="G27" s="8"/>
    </x:row>
    <x:row r="28" ht="24" customHeight="1">
      <x:c r="A28" s="8"/>
      <x:c r="B28" s="8"/>
      <x:c r="C28" s="8"/>
      <x:c r="D28" s="8"/>
      <x:c r="E28" s="8"/>
      <x:c r="F28" s="8"/>
      <x:c r="G28" s="8"/>
    </x:row>
    <x:row r="29" ht="24" customHeight="1">
      <x:c r="A29" s="8"/>
      <x:c r="B29" s="8"/>
      <x:c r="C29" s="8"/>
      <x:c r="D29" s="8"/>
      <x:c r="E29" s="8"/>
      <x:c r="F29" s="8"/>
      <x:c r="G29" s="8"/>
    </x:row>
    <x:row r="30" ht="24" customHeight="1">
      <x:c r="A30" s="8"/>
      <x:c r="B30" s="8"/>
      <x:c r="C30" s="8"/>
      <x:c r="D30" s="8"/>
      <x:c r="E30" s="8"/>
      <x:c r="F30" s="8"/>
      <x:c r="G30" s="8"/>
    </x:row>
  </x:sheetData>
  <x:conditionalFormatting sqref="F6:F9">
    <x:cfRule type="containsText" dxfId="0" priority="1" operator="containsText" text="WARNING"/>
    <x:cfRule type="containsText" dxfId="1" priority="2" operator="containsText" text="Fix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67C60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.6299991607666" hidden="0" customWidth="1"/>
    <x:col min="2" max="2" width="16.25" hidden="0" customWidth="1"/>
    <x:col min="3" max="3" width="16.25" hidden="0" customWidth="1"/>
    <x:col min="4" max="4" width="17.5" hidden="0" customWidth="1"/>
    <x:col min="5" max="5" width="16.25" hidden="0" customWidth="1"/>
    <x:col min="6" max="6" width="26.8799991607666" customWidth="1" hidden="1"/>
  </x:cols>
  <x:sheetData>
    <x:row r="1" ht="30" customHeight="1">
      <x:c r="A1" s="12" t="str">
        <x:v>Territory</x:v>
      </x:c>
      <x:c r="B1" s="12" t="str">
        <x:v>Claimed By</x:v>
      </x:c>
      <x:c r="C1" s="12" t="str">
        <x:v>Locked By</x:v>
      </x:c>
      <x:c r="D1" s="12" t="str">
        <x:v>Current Owner</x:v>
      </x:c>
      <x:c r="E1" s="12" t="str">
        <x:v>State</x:v>
      </x:c>
      <x:c r="F1" s="19" t="str">
        <x:v>Territory ID</x:v>
      </x:c>
    </x:row>
    <x:row r="2" ht="24" customHeight="1">
      <x:c r="A2" s="8" t="str">
        <x:v>Allston</x:v>
      </x:c>
      <x:c r="B2" s="21" t="str">
        <x:v>Blue</x:v>
      </x:c>
      <x:c r="C2" s="21"/>
      <x:c r="D2" s="22" t="str">
        <x:f>IF(C2&lt;&gt;"",C2,IF(B2&lt;&gt;"",B2,""))</x:f>
        <x:v>Blue</x:v>
      </x:c>
      <x:c r="E2" s="22" t="str">
        <x:f>IF(C2&lt;&gt;"","Locked",IF(B2&lt;&gt;"","Claimed","Unclaimed"))</x:f>
        <x:v>Claimed</x:v>
      </x:c>
      <x:c r="F2" s="20" t="str">
        <x:v>allston</x:v>
      </x:c>
    </x:row>
    <x:row r="3" ht="24" customHeight="1">
      <x:c r="A3" s="8" t="str">
        <x:v>Back Bay</x:v>
      </x:c>
      <x:c r="B3" s="21" t="str">
        <x:v>Red</x:v>
      </x:c>
      <x:c r="C3" s="21" t="str">
        <x:v>Red</x:v>
      </x:c>
      <x:c r="D3" s="22" t="str">
        <x:f>IF(C3&lt;&gt;"",C3,IF(B3&lt;&gt;"",B3,""))</x:f>
        <x:v>Red</x:v>
      </x:c>
      <x:c r="E3" s="22" t="str">
        <x:f>IF(C3&lt;&gt;"","Locked",IF(B3&lt;&gt;"","Claimed","Unclaimed"))</x:f>
        <x:v>Locked</x:v>
      </x:c>
      <x:c r="F3" s="20" t="str">
        <x:v>back-bay</x:v>
      </x:c>
    </x:row>
    <x:row r="4" ht="24" customHeight="1">
      <x:c r="A4" s="8" t="str">
        <x:v>Bay Village</x:v>
      </x:c>
      <x:c r="B4" s="21"/>
      <x:c r="C4" s="21"/>
      <x:c r="D4" s="22" t="str">
        <x:f>IF(C4&lt;&gt;"",C4,IF(B4&lt;&gt;"",B4,""))</x:f>
      </x:c>
      <x:c r="E4" s="22" t="str">
        <x:f>IF(C4&lt;&gt;"","Locked",IF(B4&lt;&gt;"","Claimed","Unclaimed"))</x:f>
        <x:v>Unclaimed</x:v>
      </x:c>
      <x:c r="F4" s="20" t="str">
        <x:v>bay-village</x:v>
      </x:c>
    </x:row>
    <x:row r="5" ht="24" customHeight="1">
      <x:c r="A5" s="8" t="str">
        <x:v>Beacon Hill</x:v>
      </x:c>
      <x:c r="B5" s="21" t="str">
        <x:v>Blue</x:v>
      </x:c>
      <x:c r="C5" s="21" t="str">
        <x:v>Red</x:v>
      </x:c>
      <x:c r="D5" s="22" t="str">
        <x:f>IF(C5&lt;&gt;"",C5,IF(B5&lt;&gt;"",B5,""))</x:f>
        <x:v>Red</x:v>
      </x:c>
      <x:c r="E5" s="22" t="str">
        <x:f>IF(C5&lt;&gt;"","Locked",IF(B5&lt;&gt;"","Claimed","Unclaimed"))</x:f>
        <x:v>Locked</x:v>
      </x:c>
      <x:c r="F5" s="20" t="str">
        <x:v>beacon-hill</x:v>
      </x:c>
    </x:row>
    <x:row r="6" ht="24" customHeight="1">
      <x:c r="A6" s="8" t="str">
        <x:v>Brighton</x:v>
      </x:c>
      <x:c r="B6" s="21"/>
      <x:c r="C6" s="21"/>
      <x:c r="D6" s="22" t="str">
        <x:f>IF(C6&lt;&gt;"",C6,IF(B6&lt;&gt;"",B6,""))</x:f>
      </x:c>
      <x:c r="E6" s="22" t="str">
        <x:f>IF(C6&lt;&gt;"","Locked",IF(B6&lt;&gt;"","Claimed","Unclaimed"))</x:f>
        <x:v>Unclaimed</x:v>
      </x:c>
      <x:c r="F6" s="20" t="str">
        <x:v>brighton</x:v>
      </x:c>
    </x:row>
    <x:row r="7" ht="24" customHeight="1">
      <x:c r="A7" s="8" t="str">
        <x:v>Charlestown</x:v>
      </x:c>
      <x:c r="B7" s="21"/>
      <x:c r="C7" s="21"/>
      <x:c r="D7" s="22" t="str">
        <x:f>IF(C7&lt;&gt;"",C7,IF(B7&lt;&gt;"",B7,""))</x:f>
      </x:c>
      <x:c r="E7" s="22" t="str">
        <x:f>IF(C7&lt;&gt;"","Locked",IF(B7&lt;&gt;"","Claimed","Unclaimed"))</x:f>
        <x:v>Unclaimed</x:v>
      </x:c>
      <x:c r="F7" s="20" t="str">
        <x:v>charlestown</x:v>
      </x:c>
    </x:row>
    <x:row r="8" ht="24" customHeight="1">
      <x:c r="A8" s="8" t="str">
        <x:v>Chinatown</x:v>
      </x:c>
      <x:c r="B8" s="21"/>
      <x:c r="C8" s="21"/>
      <x:c r="D8" s="22" t="str">
        <x:f>IF(C8&lt;&gt;"",C8,IF(B8&lt;&gt;"",B8,""))</x:f>
      </x:c>
      <x:c r="E8" s="22" t="str">
        <x:f>IF(C8&lt;&gt;"","Locked",IF(B8&lt;&gt;"","Claimed","Unclaimed"))</x:f>
        <x:v>Unclaimed</x:v>
      </x:c>
      <x:c r="F8" s="20" t="str">
        <x:v>chinatown-leather-district</x:v>
      </x:c>
    </x:row>
    <x:row r="9" ht="24" customHeight="1">
      <x:c r="A9" s="8" t="str">
        <x:v>Dorchester</x:v>
      </x:c>
      <x:c r="B9" s="21" t="str">
        <x:v>Green</x:v>
      </x:c>
      <x:c r="C9" s="21" t="str">
        <x:v>Green</x:v>
      </x:c>
      <x:c r="D9" s="22" t="str">
        <x:f>IF(C9&lt;&gt;"",C9,IF(B9&lt;&gt;"",B9,""))</x:f>
        <x:v>Green</x:v>
      </x:c>
      <x:c r="E9" s="22" t="str">
        <x:f>IF(C9&lt;&gt;"","Locked",IF(B9&lt;&gt;"","Claimed","Unclaimed"))</x:f>
        <x:v>Locked</x:v>
      </x:c>
      <x:c r="F9" s="20" t="str">
        <x:v>dorchester</x:v>
      </x:c>
    </x:row>
    <x:row r="10" ht="24" customHeight="1">
      <x:c r="A10" s="8" t="str">
        <x:v>Downtown</x:v>
      </x:c>
      <x:c r="B10" s="21"/>
      <x:c r="C10" s="21"/>
      <x:c r="D10" s="22" t="str">
        <x:f>IF(C10&lt;&gt;"",C10,IF(B10&lt;&gt;"",B10,""))</x:f>
      </x:c>
      <x:c r="E10" s="22" t="str">
        <x:f>IF(C10&lt;&gt;"","Locked",IF(B10&lt;&gt;"","Claimed","Unclaimed"))</x:f>
        <x:v>Unclaimed</x:v>
      </x:c>
      <x:c r="F10" s="20" t="str">
        <x:v>downtown</x:v>
      </x:c>
    </x:row>
    <x:row r="11" ht="24" customHeight="1">
      <x:c r="A11" s="8" t="str">
        <x:v>East Boston</x:v>
      </x:c>
      <x:c r="B11" s="21"/>
      <x:c r="C11" s="21"/>
      <x:c r="D11" s="22" t="str">
        <x:f>IF(C11&lt;&gt;"",C11,IF(B11&lt;&gt;"",B11,""))</x:f>
      </x:c>
      <x:c r="E11" s="22" t="str">
        <x:f>IF(C11&lt;&gt;"","Locked",IF(B11&lt;&gt;"","Claimed","Unclaimed"))</x:f>
        <x:v>Unclaimed</x:v>
      </x:c>
      <x:c r="F11" s="20" t="str">
        <x:v>east-boston</x:v>
      </x:c>
    </x:row>
    <x:row r="12" ht="24" customHeight="1">
      <x:c r="A12" s="8" t="str">
        <x:v>Fenway–Kenmore</x:v>
      </x:c>
      <x:c r="B12" s="21"/>
      <x:c r="C12" s="21"/>
      <x:c r="D12" s="22" t="str">
        <x:f>IF(C12&lt;&gt;"",C12,IF(B12&lt;&gt;"",B12,""))</x:f>
      </x:c>
      <x:c r="E12" s="22" t="str">
        <x:f>IF(C12&lt;&gt;"","Locked",IF(B12&lt;&gt;"","Claimed","Unclaimed"))</x:f>
        <x:v>Unclaimed</x:v>
      </x:c>
      <x:c r="F12" s="20" t="str">
        <x:v>fenway-kenmore</x:v>
      </x:c>
    </x:row>
    <x:row r="13" ht="24" customHeight="1">
      <x:c r="A13" s="8" t="str">
        <x:v>Hyde Park</x:v>
      </x:c>
      <x:c r="B13" s="21"/>
      <x:c r="C13" s="21"/>
      <x:c r="D13" s="22" t="str">
        <x:f>IF(C13&lt;&gt;"",C13,IF(B13&lt;&gt;"",B13,""))</x:f>
      </x:c>
      <x:c r="E13" s="22" t="str">
        <x:f>IF(C13&lt;&gt;"","Locked",IF(B13&lt;&gt;"","Claimed","Unclaimed"))</x:f>
        <x:v>Unclaimed</x:v>
      </x:c>
      <x:c r="F13" s="20" t="str">
        <x:v>hyde-park</x:v>
      </x:c>
    </x:row>
    <x:row r="14" ht="24" customHeight="1">
      <x:c r="A14" s="8" t="str">
        <x:v>Jamaica Plain</x:v>
      </x:c>
      <x:c r="B14" s="21"/>
      <x:c r="C14" s="21"/>
      <x:c r="D14" s="22" t="str">
        <x:f>IF(C14&lt;&gt;"",C14,IF(B14&lt;&gt;"",B14,""))</x:f>
      </x:c>
      <x:c r="E14" s="22" t="str">
        <x:f>IF(C14&lt;&gt;"","Locked",IF(B14&lt;&gt;"","Claimed","Unclaimed"))</x:f>
        <x:v>Unclaimed</x:v>
      </x:c>
      <x:c r="F14" s="20" t="str">
        <x:v>jamaica-plain</x:v>
      </x:c>
    </x:row>
    <x:row r="15" ht="24" customHeight="1">
      <x:c r="A15" s="8" t="str">
        <x:v>Mattapan</x:v>
      </x:c>
      <x:c r="B15" s="21"/>
      <x:c r="C15" s="21"/>
      <x:c r="D15" s="22" t="str">
        <x:f>IF(C15&lt;&gt;"",C15,IF(B15&lt;&gt;"",B15,""))</x:f>
      </x:c>
      <x:c r="E15" s="22" t="str">
        <x:f>IF(C15&lt;&gt;"","Locked",IF(B15&lt;&gt;"","Claimed","Unclaimed"))</x:f>
        <x:v>Unclaimed</x:v>
      </x:c>
      <x:c r="F15" s="20" t="str">
        <x:v>mattapan</x:v>
      </x:c>
    </x:row>
    <x:row r="16" ht="24" customHeight="1">
      <x:c r="A16" s="8" t="str">
        <x:v>Mission Hill</x:v>
      </x:c>
      <x:c r="B16" s="21"/>
      <x:c r="C16" s="21"/>
      <x:c r="D16" s="22" t="str">
        <x:f>IF(C16&lt;&gt;"",C16,IF(B16&lt;&gt;"",B16,""))</x:f>
      </x:c>
      <x:c r="E16" s="22" t="str">
        <x:f>IF(C16&lt;&gt;"","Locked",IF(B16&lt;&gt;"","Claimed","Unclaimed"))</x:f>
        <x:v>Unclaimed</x:v>
      </x:c>
      <x:c r="F16" s="20" t="str">
        <x:v>mission-hill</x:v>
      </x:c>
    </x:row>
    <x:row r="17" ht="24" customHeight="1">
      <x:c r="A17" s="8" t="str">
        <x:v>North End</x:v>
      </x:c>
      <x:c r="B17" s="21"/>
      <x:c r="C17" s="21"/>
      <x:c r="D17" s="22" t="str">
        <x:f>IF(C17&lt;&gt;"",C17,IF(B17&lt;&gt;"",B17,""))</x:f>
      </x:c>
      <x:c r="E17" s="22" t="str">
        <x:f>IF(C17&lt;&gt;"","Locked",IF(B17&lt;&gt;"","Claimed","Unclaimed"))</x:f>
        <x:v>Unclaimed</x:v>
      </x:c>
      <x:c r="F17" s="20" t="str">
        <x:v>north-end</x:v>
      </x:c>
    </x:row>
    <x:row r="18" ht="24" customHeight="1">
      <x:c r="A18" s="8" t="str">
        <x:v>Roslindale</x:v>
      </x:c>
      <x:c r="B18" s="21"/>
      <x:c r="C18" s="21"/>
      <x:c r="D18" s="22" t="str">
        <x:f>IF(C18&lt;&gt;"",C18,IF(B18&lt;&gt;"",B18,""))</x:f>
      </x:c>
      <x:c r="E18" s="22" t="str">
        <x:f>IF(C18&lt;&gt;"","Locked",IF(B18&lt;&gt;"","Claimed","Unclaimed"))</x:f>
        <x:v>Unclaimed</x:v>
      </x:c>
      <x:c r="F18" s="20" t="str">
        <x:v>roslindale</x:v>
      </x:c>
    </x:row>
    <x:row r="19" ht="24" customHeight="1">
      <x:c r="A19" s="8" t="str">
        <x:v>Roxbury</x:v>
      </x:c>
      <x:c r="B19" s="21"/>
      <x:c r="C19" s="21"/>
      <x:c r="D19" s="22" t="str">
        <x:f>IF(C19&lt;&gt;"",C19,IF(B19&lt;&gt;"",B19,""))</x:f>
      </x:c>
      <x:c r="E19" s="22" t="str">
        <x:f>IF(C19&lt;&gt;"","Locked",IF(B19&lt;&gt;"","Claimed","Unclaimed"))</x:f>
        <x:v>Unclaimed</x:v>
      </x:c>
      <x:c r="F19" s="20" t="str">
        <x:v>roxbury</x:v>
      </x:c>
    </x:row>
    <x:row r="20" ht="24" customHeight="1">
      <x:c r="A20" s="8" t="str">
        <x:v>South Boston</x:v>
      </x:c>
      <x:c r="B20" s="21"/>
      <x:c r="C20" s="21"/>
      <x:c r="D20" s="22" t="str">
        <x:f>IF(C20&lt;&gt;"",C20,IF(B20&lt;&gt;"",B20,""))</x:f>
      </x:c>
      <x:c r="E20" s="22" t="str">
        <x:f>IF(C20&lt;&gt;"","Locked",IF(B20&lt;&gt;"","Claimed","Unclaimed"))</x:f>
        <x:v>Unclaimed</x:v>
      </x:c>
      <x:c r="F20" s="20" t="str">
        <x:v>south-boston</x:v>
      </x:c>
    </x:row>
    <x:row r="21" ht="24" customHeight="1">
      <x:c r="A21" s="8" t="str">
        <x:v>South End</x:v>
      </x:c>
      <x:c r="B21" s="21" t="str">
        <x:v>Purple</x:v>
      </x:c>
      <x:c r="C21" s="21"/>
      <x:c r="D21" s="22" t="str">
        <x:f>IF(C21&lt;&gt;"",C21,IF(B21&lt;&gt;"",B21,""))</x:f>
        <x:v>Purple</x:v>
      </x:c>
      <x:c r="E21" s="22" t="str">
        <x:f>IF(C21&lt;&gt;"","Locked",IF(B21&lt;&gt;"","Claimed","Unclaimed"))</x:f>
        <x:v>Claimed</x:v>
      </x:c>
      <x:c r="F21" s="20" t="str">
        <x:v>south-end</x:v>
      </x:c>
    </x:row>
    <x:row r="22" ht="24" customHeight="1">
      <x:c r="A22" s="8" t="str">
        <x:v>West End</x:v>
      </x:c>
      <x:c r="B22" s="21"/>
      <x:c r="C22" s="21"/>
      <x:c r="D22" s="22" t="str">
        <x:f>IF(C22&lt;&gt;"",C22,IF(B22&lt;&gt;"",B22,""))</x:f>
      </x:c>
      <x:c r="E22" s="22" t="str">
        <x:f>IF(C22&lt;&gt;"","Locked",IF(B22&lt;&gt;"","Claimed","Unclaimed"))</x:f>
        <x:v>Unclaimed</x:v>
      </x:c>
      <x:c r="F22" s="20" t="str">
        <x:v>west-end</x:v>
      </x:c>
    </x:row>
    <x:row r="23" ht="24" customHeight="1">
      <x:c r="A23" s="8" t="str">
        <x:v>West Roxbury</x:v>
      </x:c>
      <x:c r="B23" s="21"/>
      <x:c r="C23" s="21"/>
      <x:c r="D23" s="22" t="str">
        <x:f>IF(C23&lt;&gt;"",C23,IF(B23&lt;&gt;"",B23,""))</x:f>
      </x:c>
      <x:c r="E23" s="22" t="str">
        <x:f>IF(C23&lt;&gt;"","Locked",IF(B23&lt;&gt;"","Claimed","Unclaimed"))</x:f>
        <x:v>Unclaimed</x:v>
      </x:c>
      <x:c r="F23" s="20" t="str">
        <x:v>west-roxbury</x:v>
      </x:c>
    </x:row>
    <x:row r="24" ht="24" customHeight="1">
      <x:c r="A24" s="8" t="str">
        <x:v>Seaport</x:v>
      </x:c>
      <x:c r="B24" s="21" t="str">
        <x:v>Red</x:v>
      </x:c>
      <x:c r="C24" s="21"/>
      <x:c r="D24" s="22" t="str">
        <x:f>IF(C24&lt;&gt;"",C24,IF(B24&lt;&gt;"",B24,""))</x:f>
        <x:v>Red</x:v>
      </x:c>
      <x:c r="E24" s="22" t="str">
        <x:f>IF(C24&lt;&gt;"","Locked",IF(B24&lt;&gt;"","Claimed","Unclaimed"))</x:f>
        <x:v>Claimed</x:v>
      </x:c>
      <x:c r="F24" s="20" t="str">
        <x:v>seaport</x:v>
      </x:c>
    </x:row>
    <x:row r="25" ht="24" customHeight="1">
      <x:c r="A25" s="8" t="str">
        <x:v>Cambridge</x:v>
      </x:c>
      <x:c r="B25" s="21" t="str">
        <x:v>Green</x:v>
      </x:c>
      <x:c r="C25" s="21"/>
      <x:c r="D25" s="22" t="str">
        <x:f>IF(C25&lt;&gt;"",C25,IF(B25&lt;&gt;"",B25,""))</x:f>
        <x:v>Green</x:v>
      </x:c>
      <x:c r="E25" s="22" t="str">
        <x:f>IF(C25&lt;&gt;"","Locked",IF(B25&lt;&gt;"","Claimed","Unclaimed"))</x:f>
        <x:v>Claimed</x:v>
      </x:c>
      <x:c r="F25" s="20" t="str">
        <x:v>cambridge</x:v>
      </x:c>
    </x:row>
    <x:row r="26" ht="24" customHeight="1">
      <x:c r="A26" s="8" t="str">
        <x:v>Somerville</x:v>
      </x:c>
      <x:c r="B26" s="21" t="str">
        <x:v>Purple</x:v>
      </x:c>
      <x:c r="C26" s="21" t="str">
        <x:v>Purple</x:v>
      </x:c>
      <x:c r="D26" s="22" t="str">
        <x:f>IF(C26&lt;&gt;"",C26,IF(B26&lt;&gt;"",B26,""))</x:f>
        <x:v>Purple</x:v>
      </x:c>
      <x:c r="E26" s="22" t="str">
        <x:f>IF(C26&lt;&gt;"","Locked",IF(B26&lt;&gt;"","Claimed","Unclaimed"))</x:f>
        <x:v>Locked</x:v>
      </x:c>
      <x:c r="F26" s="20" t="str">
        <x:v>somerville</x:v>
      </x:c>
    </x:row>
    <x:row r="27" ht="24" customHeight="1">
      <x:c r="A27" s="8" t="str">
        <x:v>Everett</x:v>
      </x:c>
      <x:c r="B27" s="21"/>
      <x:c r="C27" s="21"/>
      <x:c r="D27" s="22" t="str">
        <x:f>IF(C27&lt;&gt;"",C27,IF(B27&lt;&gt;"",B27,""))</x:f>
      </x:c>
      <x:c r="E27" s="22" t="str">
        <x:f>IF(C27&lt;&gt;"","Locked",IF(B27&lt;&gt;"","Claimed","Unclaimed"))</x:f>
        <x:v>Unclaimed</x:v>
      </x:c>
      <x:c r="F27" s="20" t="str">
        <x:v>everett</x:v>
      </x:c>
    </x:row>
    <x:row r="28" ht="24" customHeight="1">
      <x:c r="A28" s="8" t="str">
        <x:v>Chelsea</x:v>
      </x:c>
      <x:c r="B28" s="21"/>
      <x:c r="C28" s="21"/>
      <x:c r="D28" s="22" t="str">
        <x:f>IF(C28&lt;&gt;"",C28,IF(B28&lt;&gt;"",B28,""))</x:f>
      </x:c>
      <x:c r="E28" s="22" t="str">
        <x:f>IF(C28&lt;&gt;"","Locked",IF(B28&lt;&gt;"","Claimed","Unclaimed"))</x:f>
        <x:v>Unclaimed</x:v>
      </x:c>
      <x:c r="F28" s="20" t="str">
        <x:v>chelsea</x:v>
      </x:c>
    </x:row>
    <x:row r="29" ht="24" customHeight="1">
      <x:c r="A29" s="8" t="str">
        <x:v>Revere</x:v>
      </x:c>
      <x:c r="B29" s="21"/>
      <x:c r="C29" s="21"/>
      <x:c r="D29" s="22" t="str">
        <x:f>IF(C29&lt;&gt;"",C29,IF(B29&lt;&gt;"",B29,""))</x:f>
      </x:c>
      <x:c r="E29" s="22" t="str">
        <x:f>IF(C29&lt;&gt;"","Locked",IF(B29&lt;&gt;"","Claimed","Unclaimed"))</x:f>
        <x:v>Unclaimed</x:v>
      </x:c>
      <x:c r="F29" s="20" t="str">
        <x:v>revere</x:v>
      </x:c>
    </x:row>
    <x:row r="30" ht="24" customHeight="1">
      <x:c r="A30" s="8" t="str">
        <x:v>Malden</x:v>
      </x:c>
      <x:c r="B30" s="21"/>
      <x:c r="C30" s="21"/>
      <x:c r="D30" s="22" t="str">
        <x:f>IF(C30&lt;&gt;"",C30,IF(B30&lt;&gt;"",B30,""))</x:f>
      </x:c>
      <x:c r="E30" s="22" t="str">
        <x:f>IF(C30&lt;&gt;"","Locked",IF(B30&lt;&gt;"","Claimed","Unclaimed"))</x:f>
        <x:v>Unclaimed</x:v>
      </x:c>
      <x:c r="F30" s="20" t="str">
        <x:v>malden</x:v>
      </x:c>
    </x:row>
    <x:row r="31" ht="24" customHeight="1">
      <x:c r="A31" s="8" t="str">
        <x:v>Medford</x:v>
      </x:c>
      <x:c r="B31" s="21"/>
      <x:c r="C31" s="21"/>
      <x:c r="D31" s="22" t="str">
        <x:f>IF(C31&lt;&gt;"",C31,IF(B31&lt;&gt;"",B31,""))</x:f>
      </x:c>
      <x:c r="E31" s="22" t="str">
        <x:f>IF(C31&lt;&gt;"","Locked",IF(B31&lt;&gt;"","Claimed","Unclaimed"))</x:f>
        <x:v>Unclaimed</x:v>
      </x:c>
      <x:c r="F31" s="20" t="str">
        <x:v>medford</x:v>
      </x:c>
    </x:row>
    <x:row r="32" ht="24" customHeight="1">
      <x:c r="A32" s="8" t="str">
        <x:v>Brookline</x:v>
      </x:c>
      <x:c r="B32" s="21"/>
      <x:c r="C32" s="21"/>
      <x:c r="D32" s="22" t="str">
        <x:f>IF(C32&lt;&gt;"",C32,IF(B32&lt;&gt;"",B32,""))</x:f>
      </x:c>
      <x:c r="E32" s="22" t="str">
        <x:f>IF(C32&lt;&gt;"","Locked",IF(B32&lt;&gt;"","Claimed","Unclaimed"))</x:f>
        <x:v>Unclaimed</x:v>
      </x:c>
      <x:c r="F32" s="20" t="str">
        <x:v>brookline</x:v>
      </x:c>
    </x:row>
    <x:row r="33" ht="24" customHeight="1">
      <x:c r="A33" s="8" t="str">
        <x:v>Newton</x:v>
      </x:c>
      <x:c r="B33" s="21"/>
      <x:c r="C33" s="21"/>
      <x:c r="D33" s="22" t="str">
        <x:f>IF(C33&lt;&gt;"",C33,IF(B33&lt;&gt;"",B33,""))</x:f>
      </x:c>
      <x:c r="E33" s="22" t="str">
        <x:f>IF(C33&lt;&gt;"","Locked",IF(B33&lt;&gt;"","Claimed","Unclaimed"))</x:f>
        <x:v>Unclaimed</x:v>
      </x:c>
      <x:c r="F33" s="20" t="str">
        <x:v>newton</x:v>
      </x:c>
    </x:row>
    <x:row r="34" ht="24" customHeight="1">
      <x:c r="A34" s="8" t="str">
        <x:v>Quincy</x:v>
      </x:c>
      <x:c r="B34" s="21" t="str">
        <x:v>Blue</x:v>
      </x:c>
      <x:c r="C34" s="21" t="str">
        <x:v>Blue</x:v>
      </x:c>
      <x:c r="D34" s="22" t="str">
        <x:f>IF(C34&lt;&gt;"",C34,IF(B34&lt;&gt;"",B34,""))</x:f>
        <x:v>Blue</x:v>
      </x:c>
      <x:c r="E34" s="22" t="str">
        <x:f>IF(C34&lt;&gt;"","Locked",IF(B34&lt;&gt;"","Claimed","Unclaimed"))</x:f>
        <x:v>Locked</x:v>
      </x:c>
      <x:c r="F34" s="20" t="str">
        <x:v>quincy</x:v>
      </x:c>
    </x:row>
    <x:row r="35" ht="24" customHeight="1">
      <x:c r="A35" s="8" t="str">
        <x:v>Braintree</x:v>
      </x:c>
      <x:c r="B35" s="21"/>
      <x:c r="C35" s="21"/>
      <x:c r="D35" s="22" t="str">
        <x:f>IF(C35&lt;&gt;"",C35,IF(B35&lt;&gt;"",B35,""))</x:f>
      </x:c>
      <x:c r="E35" s="22" t="str">
        <x:f>IF(C35&lt;&gt;"","Locked",IF(B35&lt;&gt;"","Claimed","Unclaimed"))</x:f>
        <x:v>Unclaimed</x:v>
      </x:c>
      <x:c r="F35" s="20" t="str">
        <x:v>braintree</x:v>
      </x:c>
    </x:row>
    <x:row r="36" ht="24" customHeight="1">
      <x:c r="A36" s="8" t="str">
        <x:v>Winthrop</x:v>
      </x:c>
      <x:c r="B36" s="21"/>
      <x:c r="C36" s="21"/>
      <x:c r="D36" s="22" t="str">
        <x:f>IF(C36&lt;&gt;"",C36,IF(B36&lt;&gt;"",B36,""))</x:f>
      </x:c>
      <x:c r="E36" s="22" t="str">
        <x:f>IF(C36&lt;&gt;"","Locked",IF(B36&lt;&gt;"","Claimed","Unclaimed"))</x:f>
        <x:v>Unclaimed</x:v>
      </x:c>
      <x:c r="F36" s="20" t="str">
        <x:v>winthrop</x:v>
      </x:c>
    </x:row>
    <x:row r="37" ht="24" customHeight="1">
      <x:c r="A37" s="8" t="str">
        <x:v>Milton</x:v>
      </x:c>
      <x:c r="B37" s="21" t="str">
        <x:v>Green</x:v>
      </x:c>
      <x:c r="C37" s="21" t="str">
        <x:v>Purple</x:v>
      </x:c>
      <x:c r="D37" s="22" t="str">
        <x:f>IF(C37&lt;&gt;"",C37,IF(B37&lt;&gt;"",B37,""))</x:f>
        <x:v>Purple</x:v>
      </x:c>
      <x:c r="E37" s="22" t="str">
        <x:f>IF(C37&lt;&gt;"","Locked",IF(B37&lt;&gt;"","Claimed","Unclaimed"))</x:f>
        <x:v>Locked</x:v>
      </x:c>
      <x:c r="F37" s="20" t="str">
        <x:v>milton</x:v>
      </x:c>
    </x:row>
    <x:row r="38" ht="24" customHeight="1">
      <x:c r="A38" s="8" t="str">
        <x:v>Longwood</x:v>
      </x:c>
      <x:c r="B38" s="21"/>
      <x:c r="C38" s="21"/>
      <x:c r="D38" s="22" t="str">
        <x:f>IF(C38&lt;&gt;"",C38,IF(B38&lt;&gt;"",B38,""))</x:f>
      </x:c>
      <x:c r="E38" s="22" t="str">
        <x:f>IF(C38&lt;&gt;"","Locked",IF(B38&lt;&gt;"","Claimed","Unclaimed"))</x:f>
        <x:v>Unclaimed</x:v>
      </x:c>
      <x:c r="F38" s="20" t="str">
        <x:v>longwood</x:v>
      </x:c>
    </x:row>
  </x:sheetData>
  <x:conditionalFormatting sqref="D2:D38">
    <x:cfRule type="cellIs" dxfId="2" priority="1" operator="equal">
      <x:formula>"Blue"</x:formula>
    </x:cfRule>
    <x:cfRule type="cellIs" dxfId="3" priority="2" operator="equal">
      <x:formula>"Red"</x:formula>
    </x:cfRule>
    <x:cfRule type="cellIs" dxfId="4" priority="3" operator="equal">
      <x:formula>"Green"</x:formula>
    </x:cfRule>
    <x:cfRule type="cellIs" dxfId="5" priority="4" operator="equal">
      <x:formula>"Purple"</x:formula>
    </x:cfRule>
  </x:conditionalFormatting>
  <x:dataValidations count="1">
    <x:dataValidation type="list" sqref="B2:C38">
      <x:formula1>Teams!$D$2:$D$5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5" hidden="0" customWidth="1"/>
    <x:col min="2" max="2" width="11.25" hidden="0" customWidth="1"/>
  </x:cols>
  <x:sheetData>
    <x:row r="1" ht="26" customHeight="1">
      <x:c r="A1" s="1"/>
      <x:c r="B1" s="1"/>
      <x:c r="C1" s="1"/>
      <x:c r="D1" s="1"/>
      <x:c r="E1" s="1"/>
      <x:c r="F1" s="1"/>
    </x:row>
    <x:row r="2" ht="26" customHeight="1">
      <x:c r="A2" s="2" t="str">
        <x:v>GAME SETUP</x:v>
      </x:c>
      <x:c r="B2" s="1"/>
      <x:c r="C2" s="1"/>
      <x:c r="D2" s="1"/>
      <x:c r="E2" s="1"/>
      <x:c r="F2" s="1"/>
    </x:row>
    <x:row r="3" ht="26" customHeight="1">
      <x:c r="A3" s="1" t="str">
        <x:v>Number of teams</x:v>
      </x:c>
      <x:c r="B3" s="4" t="n">
        <x:v>4</x:v>
      </x:c>
      <x:c r="C3" s="1"/>
      <x:c r="D3" s="1"/>
      <x:c r="E3" s="1"/>
      <x:c r="F3" s="1"/>
    </x:row>
    <x:row r="4" ht="26" customHeight="1">
      <x:c r="A4" s="1"/>
      <x:c r="B4" s="1"/>
      <x:c r="C4" s="1"/>
      <x:c r="D4" s="1"/>
      <x:c r="E4" s="1"/>
      <x:c r="F4" s="1"/>
    </x:row>
    <x:row r="5" ht="26" customHeight="1">
      <x:c r="A5" s="1" t="str">
        <x:v>Choose 2–4 before starting a game.</x:v>
      </x:c>
      <x:c r="B5" s="1"/>
      <x:c r="C5" s="1"/>
      <x:c r="D5" s="1"/>
      <x:c r="E5" s="1"/>
      <x:c r="F5" s="1"/>
    </x:row>
    <x:row r="6" ht="26" customHeight="1">
      <x:c r="A6" s="1" t="str">
        <x:v>Teams activate in the order listed on Teams.</x:v>
      </x:c>
      <x:c r="B6" s="1"/>
      <x:c r="C6" s="1"/>
      <x:c r="D6" s="1"/>
      <x:c r="E6" s="1"/>
      <x:c r="F6" s="1"/>
    </x:row>
    <x:row r="7" ht="26" customHeight="1">
      <x:c r="A7" s="1" t="str">
        <x:v>Use only the active team tabs. Extra tabs can stay unused.</x:v>
      </x:c>
      <x:c r="B7" s="1"/>
      <x:c r="C7" s="1"/>
      <x:c r="D7" s="1"/>
      <x:c r="E7" s="1"/>
      <x:c r="F7" s="1"/>
    </x:row>
    <x:row r="8" ht="26" customHeight="1">
      <x:c r="A8" s="1" t="str">
        <x:v>Colors can be edited on Teams using #RRGGBB values.</x:v>
      </x:c>
      <x:c r="B8" s="1"/>
      <x:c r="C8" s="1"/>
      <x:c r="D8" s="1"/>
      <x:c r="E8" s="1"/>
      <x:c r="F8" s="1"/>
    </x:row>
    <x:row r="9" ht="26" customHeight="1">
      <x:c r="A9" s="1" t="str">
        <x:v>Keep team IDs and tab names unchanged.</x:v>
      </x:c>
      <x:c r="B9" s="1"/>
      <x:c r="C9" s="1"/>
      <x:c r="D9" s="1"/>
      <x:c r="E9" s="1"/>
      <x:c r="F9" s="1"/>
    </x:row>
    <x:row r="10" ht="26" customHeight="1">
      <x:c r="A10" s="1" t="str">
        <x:v>Change the count between games; clear old game entries first.</x:v>
      </x:c>
      <x:c r="B10" s="1"/>
      <x:c r="C10" s="1"/>
      <x:c r="D10" s="1"/>
      <x:c r="E10" s="1"/>
      <x:c r="F10" s="1"/>
    </x:row>
    <x:row r="11" ht="26" customHeight="1">
      <x:c r="A11" s="1"/>
      <x:c r="B11" s="1"/>
      <x:c r="C11" s="1"/>
      <x:c r="D11" s="1"/>
      <x:c r="E11" s="1"/>
      <x:c r="F11" s="1"/>
    </x:row>
    <x:row r="12" ht="26" customHeight="1">
      <x:c r="A12" s="1" t="str">
        <x:v>Yellow cells are editable. Green cells are calculated.</x:v>
      </x:c>
      <x:c r="B12" s="1"/>
      <x:c r="C12" s="1"/>
      <x:c r="D12" s="1"/>
      <x:c r="E12" s="1"/>
      <x:c r="F12" s="1"/>
    </x:row>
    <x:row r="13" ht="26" customHeight="1">
      <x:c r="A13" s="1"/>
      <x:c r="B13" s="1"/>
      <x:c r="C13" s="1"/>
      <x:c r="D13" s="1"/>
      <x:c r="E13" s="1"/>
      <x:c r="F13" s="1"/>
    </x:row>
    <x:row r="14" ht="26" customHeight="1">
      <x:c r="A14" s="1"/>
      <x:c r="B14" s="1"/>
      <x:c r="C14" s="1"/>
      <x:c r="D14" s="1"/>
      <x:c r="E14" s="1"/>
      <x:c r="F14" s="1"/>
    </x:row>
    <x:row r="15" ht="26" customHeight="1">
      <x:c r="A15" s="1"/>
      <x:c r="B15" s="1"/>
      <x:c r="C15" s="1"/>
      <x:c r="D15" s="1"/>
      <x:c r="E15" s="1"/>
      <x:c r="F15" s="1"/>
    </x:row>
    <x:row r="16" ht="26" customHeight="1">
      <x:c r="A16" s="1"/>
      <x:c r="B16" s="1"/>
      <x:c r="C16" s="1"/>
      <x:c r="D16" s="1"/>
      <x:c r="E16" s="1"/>
      <x:c r="F16" s="1"/>
    </x:row>
  </x:sheetData>
  <x:dataValidations count="1">
    <x:dataValidation type="list" sqref="B3">
      <x:formula1>"2,3,4"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4" max="4" width="23.75" customWidth="1" hidden="1"/>
  </x:cols>
  <x:sheetData>
    <x:row r="1" ht="30" customHeight="1">
      <x:c r="A1" s="6" t="str">
        <x:v>Team</x:v>
      </x:c>
      <x:c r="B1" s="6" t="str">
        <x:v>Color</x:v>
      </x:c>
      <x:c r="C1" s="6" t="str">
        <x:v>Enabled</x:v>
      </x:c>
      <x:c r="D1" s="6" t="str">
        <x:v>Active Dropdown</x:v>
      </x:c>
    </x:row>
    <x:row r="2" ht="26" customHeight="1">
      <x:c r="A2" s="1" t="str">
        <x:v>Blue</x:v>
      </x:c>
      <x:c r="B2" s="3" t="str">
        <x:v>#2273E5</x:v>
      </x:c>
      <x:c r="C2" s="7" t="str">
        <x:f>IF(Setup!$B$3&gt;=1,"Yes","No")</x:f>
        <x:v>Yes</x:v>
      </x:c>
      <x:c r="D2" s="7" t="str">
        <x:f>IF(C2="Yes",A2,"")</x:f>
        <x:v>Blue</x:v>
      </x:c>
    </x:row>
    <x:row r="3" ht="26" customHeight="1">
      <x:c r="A3" s="1" t="str">
        <x:v>Red</x:v>
      </x:c>
      <x:c r="B3" s="3" t="str">
        <x:v>#EC4F39</x:v>
      </x:c>
      <x:c r="C3" s="7" t="str">
        <x:f>IF(Setup!$B$3&gt;=2,"Yes","No")</x:f>
        <x:v>Yes</x:v>
      </x:c>
      <x:c r="D3" s="7" t="str">
        <x:f>IF(C3="Yes",A3,"")</x:f>
        <x:v>Red</x:v>
      </x:c>
    </x:row>
    <x:row r="4" ht="26" customHeight="1">
      <x:c r="A4" s="1" t="str">
        <x:v>Green</x:v>
      </x:c>
      <x:c r="B4" s="3" t="str">
        <x:v>#25835B</x:v>
      </x:c>
      <x:c r="C4" s="7" t="str">
        <x:f>IF(Setup!$B$3&gt;=3,"Yes","No")</x:f>
        <x:v>Yes</x:v>
      </x:c>
      <x:c r="D4" s="7" t="str">
        <x:f>IF(C4="Yes",A4,"")</x:f>
        <x:v>Green</x:v>
      </x:c>
    </x:row>
    <x:row r="5" ht="26" customHeight="1">
      <x:c r="A5" s="1" t="str">
        <x:v>Purple</x:v>
      </x:c>
      <x:c r="B5" s="3" t="str">
        <x:v>#8055C9</x:v>
      </x:c>
      <x:c r="C5" s="7" t="str">
        <x:f>IF(Setup!$B$3&gt;=4,"Yes","No")</x:f>
        <x:v>Yes</x:v>
      </x:c>
      <x:c r="D5" s="7" t="str">
        <x:f>IF(C5="Yes",A5,"")</x:f>
        <x:v>Purple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273E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.6299991607666" hidden="0" customWidth="1"/>
    <x:col min="2" max="2" width="14.380000114440918" hidden="0" customWidth="1"/>
    <x:col min="3" max="3" width="14.380000114440918" hidden="0" customWidth="1"/>
    <x:col min="4" max="4" width="31.25" hidden="0" customWidth="1"/>
    <x:col min="5" max="5" width="32.5" hidden="0" customWidth="1"/>
    <x:col min="6" max="6" width="8.130000114440918" customWidth="1" hidden="1"/>
    <x:col min="7" max="7" width="26.25" customWidth="1" hidden="1"/>
    <x:col min="8" max="8" width="3.130000114440918" hidden="0" customWidth="1"/>
    <x:col min="9" max="9" width="48.130001068115234" hidden="0" customWidth="1"/>
    <x:col min="10" max="10" width="6.880000114440918" hidden="0" customWidth="1"/>
  </x:cols>
  <x:sheetData>
    <x:row r="1" ht="30" customHeight="1">
      <x:c r="A1" s="12" t="str">
        <x:v>Territory</x:v>
      </x:c>
      <x:c r="B1" s="12" t="str">
        <x:v>Status</x:v>
      </x:c>
      <x:c r="C1" s="12" t="str">
        <x:v>Reveal Order</x:v>
      </x:c>
      <x:c r="D1" s="12" t="str">
        <x:v>Entry Warning</x:v>
      </x:c>
      <x:c r="E1" s="12" t="str">
        <x:v>Retry Guidance</x:v>
      </x:c>
      <x:c r="F1" s="19" t="str">
        <x:v>Team</x:v>
      </x:c>
      <x:c r="G1" s="19" t="str">
        <x:v>Territory ID</x:v>
      </x:c>
      <x:c r="H1" s="8"/>
      <x:c r="I1" s="13" t="str">
        <x:v>BLUE TEAM / CURRENT CHALLENGE</x:v>
      </x:c>
      <x:c r="J1" s="8"/>
    </x:row>
    <x:row r="2" ht="24" customHeight="1">
      <x:c r="A2" s="8" t="str">
        <x:v>Allston</x:v>
      </x:c>
      <x:c r="B2" s="21" t="str">
        <x:v>Not opened</x:v>
      </x:c>
      <x:c r="C2" s="23"/>
      <x:c r="D2" s="22" t="str">
        <x:f>IF(B2="Not opened",IF(C2&lt;&gt;"","Clear reveal number",""),IF(C2="","Enter reveal number",IF(COUNTIFS($C$2:$C$38,C2)&gt;1,"Duplicate reveal number",IF(AND(B2="Active",COUNTIFS($B$2:$B$38,"Active")&gt;1),"Resolve other active challenge",""))))</x:f>
      </x:c>
      <x:c r="E2" s="22" t="str">
        <x:f>IF(B2="Not opened","Not revealed",IF(C2="","Enter reveal number",IF(OR(B2="Failed",B2="Abandoned"),IF(MAX($C$2:$C$38)&gt;C2,"No retry: newer card opened","Check card retry rule"),IF(B2="Succeeded","Completed","Work on this card"))))</x:f>
        <x:v>Not revealed</x:v>
      </x:c>
      <x:c r="F2" s="20" t="str">
        <x:v>Blue</x:v>
      </x:c>
      <x:c r="G2" s="20" t="str">
        <x:v>allston</x:v>
      </x:c>
      <x:c r="H2" s="8"/>
      <x:c r="I2" s="8" t="str">
        <x:f>IF(COUNTIFS($B$2:$B$38,"Active")&gt;1,"WARNING: multiple active challenges",IF(COUNTIFS($B$2:$B$38,"Active")=1,"One active challenge","No active challenge"))</x:f>
        <x:v>No active challenge</x:v>
      </x:c>
      <x:c r="J2" s="8"/>
    </x:row>
    <x:row r="3" ht="24" customHeight="1">
      <x:c r="A3" s="8" t="str">
        <x:v>Back Bay</x:v>
      </x:c>
      <x:c r="B3" s="21" t="str">
        <x:v>Not opened</x:v>
      </x:c>
      <x:c r="C3" s="23"/>
      <x:c r="D3" s="22" t="str">
        <x:f>IF(B3="Not opened",IF(C3&lt;&gt;"","Clear reveal number",""),IF(C3="","Enter reveal number",IF(COUNTIFS($C$2:$C$38,C3)&gt;1,"Duplicate reveal number",IF(AND(B3="Active",COUNTIFS($B$2:$B$38,"Active")&gt;1),"Resolve other active challenge",""))))</x:f>
      </x:c>
      <x:c r="E3" s="22" t="str">
        <x:f>IF(B3="Not opened","Not revealed",IF(C3="","Enter reveal number",IF(OR(B3="Failed",B3="Abandoned"),IF(MAX($C$2:$C$38)&gt;C3,"No retry: newer card opened","Check card retry rule"),IF(B3="Succeeded","Completed","Work on this card"))))</x:f>
        <x:v>Not revealed</x:v>
      </x:c>
      <x:c r="F3" s="20" t="str">
        <x:v>Blue</x:v>
      </x:c>
      <x:c r="G3" s="20" t="str">
        <x:v>back-bay</x:v>
      </x:c>
      <x:c r="H3" s="8"/>
      <x:c r="I3" s="8"/>
      <x:c r="J3" s="8"/>
    </x:row>
    <x:row r="4" ht="24" customHeight="1">
      <x:c r="A4" s="8" t="str">
        <x:v>Bay Village</x:v>
      </x:c>
      <x:c r="B4" s="21" t="str">
        <x:v>Not opened</x:v>
      </x:c>
      <x:c r="C4" s="23"/>
      <x:c r="D4" s="22" t="str">
        <x:f>IF(B4="Not opened",IF(C4&lt;&gt;"","Clear reveal number",""),IF(C4="","Enter reveal number",IF(COUNTIFS($C$2:$C$38,C4)&gt;1,"Duplicate reveal number",IF(AND(B4="Active",COUNTIFS($B$2:$B$38,"Active")&gt;1),"Resolve other active challenge",""))))</x:f>
      </x:c>
      <x:c r="E4" s="22" t="str">
        <x:f>IF(B4="Not opened","Not revealed",IF(C4="","Enter reveal number",IF(OR(B4="Failed",B4="Abandoned"),IF(MAX($C$2:$C$38)&gt;C4,"No retry: newer card opened","Check card retry rule"),IF(B4="Succeeded","Completed","Work on this card"))))</x:f>
        <x:v>Not revealed</x:v>
      </x:c>
      <x:c r="F4" s="20" t="str">
        <x:v>Blue</x:v>
      </x:c>
      <x:c r="G4" s="20" t="str">
        <x:v>bay-village</x:v>
      </x:c>
      <x:c r="H4" s="8"/>
      <x:c r="I4" s="8" t="str">
        <x:v>Next reveal number</x:v>
      </x:c>
      <x:c r="J4" s="18" t="n">
        <x:f>MAX($C$2:$C$38)+1</x:f>
        <x:v>1</x:v>
      </x:c>
    </x:row>
    <x:row r="5" ht="24" customHeight="1">
      <x:c r="A5" s="8" t="str">
        <x:v>Beacon Hill</x:v>
      </x:c>
      <x:c r="B5" s="21" t="str">
        <x:v>Not opened</x:v>
      </x:c>
      <x:c r="C5" s="23"/>
      <x:c r="D5" s="22" t="str">
        <x:f>IF(B5="Not opened",IF(C5&lt;&gt;"","Clear reveal number",""),IF(C5="","Enter reveal number",IF(COUNTIFS($C$2:$C$38,C5)&gt;1,"Duplicate reveal number",IF(AND(B5="Active",COUNTIFS($B$2:$B$38,"Active")&gt;1),"Resolve other active challenge",""))))</x:f>
      </x:c>
      <x:c r="E5" s="22" t="str">
        <x:f>IF(B5="Not opened","Not revealed",IF(C5="","Enter reveal number",IF(OR(B5="Failed",B5="Abandoned"),IF(MAX($C$2:$C$38)&gt;C5,"No retry: newer card opened","Check card retry rule"),IF(B5="Succeeded","Completed","Work on this card"))))</x:f>
        <x:v>Not revealed</x:v>
      </x:c>
      <x:c r="F5" s="20" t="str">
        <x:v>Blue</x:v>
      </x:c>
      <x:c r="G5" s="20" t="str">
        <x:v>beacon-hill</x:v>
      </x:c>
      <x:c r="H5" s="8"/>
      <x:c r="I5" s="8"/>
      <x:c r="J5" s="8"/>
    </x:row>
    <x:row r="6" ht="24" customHeight="1">
      <x:c r="A6" s="8" t="str">
        <x:v>Brighton</x:v>
      </x:c>
      <x:c r="B6" s="21" t="str">
        <x:v>Not opened</x:v>
      </x:c>
      <x:c r="C6" s="23"/>
      <x:c r="D6" s="22" t="str">
        <x:f>IF(B6="Not opened",IF(C6&lt;&gt;"","Clear reveal number",""),IF(C6="","Enter reveal number",IF(COUNTIFS($C$2:$C$38,C6)&gt;1,"Duplicate reveal number",IF(AND(B6="Active",COUNTIFS($B$2:$B$38,"Active")&gt;1),"Resolve other active challenge",""))))</x:f>
      </x:c>
      <x:c r="E6" s="22" t="str">
        <x:f>IF(B6="Not opened","Not revealed",IF(C6="","Enter reveal number",IF(OR(B6="Failed",B6="Abandoned"),IF(MAX($C$2:$C$38)&gt;C6,"No retry: newer card opened","Check card retry rule"),IF(B6="Succeeded","Completed","Work on this card"))))</x:f>
        <x:v>Not revealed</x:v>
      </x:c>
      <x:c r="F6" s="20" t="str">
        <x:v>Blue</x:v>
      </x:c>
      <x:c r="G6" s="20" t="str">
        <x:v>brighton</x:v>
      </x:c>
      <x:c r="H6" s="8"/>
      <x:c r="I6" s="8" t="str">
        <x:v>Edit only Reveal Order and Status.</x:v>
      </x:c>
      <x:c r="J6" s="8"/>
    </x:row>
    <x:row r="7" ht="24" customHeight="1">
      <x:c r="A7" s="8" t="str">
        <x:v>Charlestown</x:v>
      </x:c>
      <x:c r="B7" s="21" t="str">
        <x:v>Not opened</x:v>
      </x:c>
      <x:c r="C7" s="23"/>
      <x:c r="D7" s="22" t="str">
        <x:f>IF(B7="Not opened",IF(C7&lt;&gt;"","Clear reveal number",""),IF(C7="","Enter reveal number",IF(COUNTIFS($C$2:$C$38,C7)&gt;1,"Duplicate reveal number",IF(AND(B7="Active",COUNTIFS($B$2:$B$38,"Active")&gt;1),"Resolve other active challenge",""))))</x:f>
      </x:c>
      <x:c r="E7" s="22" t="str">
        <x:f>IF(B7="Not opened","Not revealed",IF(C7="","Enter reveal number",IF(OR(B7="Failed",B7="Abandoned"),IF(MAX($C$2:$C$38)&gt;C7,"No retry: newer card opened","Check card retry rule"),IF(B7="Succeeded","Completed","Work on this card"))))</x:f>
        <x:v>Not revealed</x:v>
      </x:c>
      <x:c r="F7" s="20" t="str">
        <x:v>Blue</x:v>
      </x:c>
      <x:c r="G7" s="20" t="str">
        <x:v>charlestown</x:v>
      </x:c>
      <x:c r="H7" s="8"/>
      <x:c r="I7" s="8" t="str">
        <x:v>Keep the reveal number when retrying.</x:v>
      </x:c>
      <x:c r="J7" s="8"/>
    </x:row>
    <x:row r="8" ht="24" customHeight="1">
      <x:c r="A8" s="8" t="str">
        <x:v>Chinatown</x:v>
      </x:c>
      <x:c r="B8" s="21" t="str">
        <x:v>Not opened</x:v>
      </x:c>
      <x:c r="C8" s="23"/>
      <x:c r="D8" s="22" t="str">
        <x:f>IF(B8="Not opened",IF(C8&lt;&gt;"","Clear reveal number",""),IF(C8="","Enter reveal number",IF(COUNTIFS($C$2:$C$38,C8)&gt;1,"Duplicate reveal number",IF(AND(B8="Active",COUNTIFS($B$2:$B$38,"Active")&gt;1),"Resolve other active challenge",""))))</x:f>
      </x:c>
      <x:c r="E8" s="22" t="str">
        <x:f>IF(B8="Not opened","Not revealed",IF(C8="","Enter reveal number",IF(OR(B8="Failed",B8="Abandoned"),IF(MAX($C$2:$C$38)&gt;C8,"No retry: newer card opened","Check card retry rule"),IF(B8="Succeeded","Completed","Work on this card"))))</x:f>
        <x:v>Not revealed</x:v>
      </x:c>
      <x:c r="F8" s="20" t="str">
        <x:v>Blue</x:v>
      </x:c>
      <x:c r="G8" s="20" t="str">
        <x:v>chinatown-leather-district</x:v>
      </x:c>
      <x:c r="H8" s="8"/>
      <x:c r="I8" s="8" t="str">
        <x:v>Resolve this card before opening another.</x:v>
      </x:c>
      <x:c r="J8" s="8"/>
    </x:row>
    <x:row r="9" ht="24" customHeight="1">
      <x:c r="A9" s="8" t="str">
        <x:v>Dorchester</x:v>
      </x:c>
      <x:c r="B9" s="21" t="str">
        <x:v>Not opened</x:v>
      </x:c>
      <x:c r="C9" s="23"/>
      <x:c r="D9" s="22" t="str">
        <x:f>IF(B9="Not opened",IF(C9&lt;&gt;"","Clear reveal number",""),IF(C9="","Enter reveal number",IF(COUNTIFS($C$2:$C$38,C9)&gt;1,"Duplicate reveal number",IF(AND(B9="Active",COUNTIFS($B$2:$B$38,"Active")&gt;1),"Resolve other active challenge",""))))</x:f>
      </x:c>
      <x:c r="E9" s="22" t="str">
        <x:f>IF(B9="Not opened","Not revealed",IF(C9="","Enter reveal number",IF(OR(B9="Failed",B9="Abandoned"),IF(MAX($C$2:$C$38)&gt;C9,"No retry: newer card opened","Check card retry rule"),IF(B9="Succeeded","Completed","Work on this card"))))</x:f>
        <x:v>Not revealed</x:v>
      </x:c>
      <x:c r="F9" s="20" t="str">
        <x:v>Blue</x:v>
      </x:c>
      <x:c r="G9" s="20" t="str">
        <x:v>dorchester</x:v>
      </x:c>
      <x:c r="H9" s="8"/>
      <x:c r="I9" s="8" t="str">
        <x:v>An older card cannot be retried after a newer reveal.</x:v>
      </x:c>
      <x:c r="J9" s="8"/>
    </x:row>
    <x:row r="10" ht="24" customHeight="1">
      <x:c r="A10" s="8" t="str">
        <x:v>Downtown</x:v>
      </x:c>
      <x:c r="B10" s="21" t="str">
        <x:v>Not opened</x:v>
      </x:c>
      <x:c r="C10" s="23"/>
      <x:c r="D10" s="22" t="str">
        <x:f>IF(B10="Not opened",IF(C10&lt;&gt;"","Clear reveal number",""),IF(C10="","Enter reveal number",IF(COUNTIFS($C$2:$C$38,C10)&gt;1,"Duplicate reveal number",IF(AND(B10="Active",COUNTIFS($B$2:$B$38,"Active")&gt;1),"Resolve other active challenge",""))))</x:f>
      </x:c>
      <x:c r="E10" s="22" t="str">
        <x:f>IF(B10="Not opened","Not revealed",IF(C10="","Enter reveal number",IF(OR(B10="Failed",B10="Abandoned"),IF(MAX($C$2:$C$38)&gt;C10,"No retry: newer card opened","Check card retry rule"),IF(B10="Succeeded","Completed","Work on this card"))))</x:f>
        <x:v>Not revealed</x:v>
      </x:c>
      <x:c r="F10" s="20" t="str">
        <x:v>Blue</x:v>
      </x:c>
      <x:c r="G10" s="20" t="str">
        <x:v>downtown</x:v>
      </x:c>
      <x:c r="H10" s="8"/>
      <x:c r="I10" s="8" t="str">
        <x:v>Whether a card allows retries is written on that card.</x:v>
      </x:c>
      <x:c r="J10" s="8"/>
    </x:row>
    <x:row r="11" ht="24" customHeight="1">
      <x:c r="A11" s="8" t="str">
        <x:v>East Boston</x:v>
      </x:c>
      <x:c r="B11" s="21" t="str">
        <x:v>Not opened</x:v>
      </x:c>
      <x:c r="C11" s="23"/>
      <x:c r="D11" s="22" t="str">
        <x:f>IF(B11="Not opened",IF(C11&lt;&gt;"","Clear reveal number",""),IF(C11="","Enter reveal number",IF(COUNTIFS($C$2:$C$38,C11)&gt;1,"Duplicate reveal number",IF(AND(B11="Active",COUNTIFS($B$2:$B$38,"Active")&gt;1),"Resolve other active challenge",""))))</x:f>
      </x:c>
      <x:c r="E11" s="22" t="str">
        <x:f>IF(B11="Not opened","Not revealed",IF(C11="","Enter reveal number",IF(OR(B11="Failed",B11="Abandoned"),IF(MAX($C$2:$C$38)&gt;C11,"No retry: newer card opened","Check card retry rule"),IF(B11="Succeeded","Completed","Work on this card"))))</x:f>
        <x:v>Not revealed</x:v>
      </x:c>
      <x:c r="F11" s="20" t="str">
        <x:v>Blue</x:v>
      </x:c>
      <x:c r="G11" s="20" t="str">
        <x:v>east-boston</x:v>
      </x:c>
      <x:c r="H11" s="8"/>
      <x:c r="I11" s="8"/>
      <x:c r="J11" s="8"/>
    </x:row>
    <x:row r="12" ht="24" customHeight="1">
      <x:c r="A12" s="8" t="str">
        <x:v>Fenway–Kenmore</x:v>
      </x:c>
      <x:c r="B12" s="21" t="str">
        <x:v>Not opened</x:v>
      </x:c>
      <x:c r="C12" s="23"/>
      <x:c r="D12" s="22" t="str">
        <x:f>IF(B12="Not opened",IF(C12&lt;&gt;"","Clear reveal number",""),IF(C12="","Enter reveal number",IF(COUNTIFS($C$2:$C$38,C12)&gt;1,"Duplicate reveal number",IF(AND(B12="Active",COUNTIFS($B$2:$B$38,"Active")&gt;1),"Resolve other active challenge",""))))</x:f>
      </x:c>
      <x:c r="E12" s="22" t="str">
        <x:f>IF(B12="Not opened","Not revealed",IF(C12="","Enter reveal number",IF(OR(B12="Failed",B12="Abandoned"),IF(MAX($C$2:$C$38)&gt;C12,"No retry: newer card opened","Check card retry rule"),IF(B12="Succeeded","Completed","Work on this card"))))</x:f>
        <x:v>Not revealed</x:v>
      </x:c>
      <x:c r="F12" s="20" t="str">
        <x:v>Blue</x:v>
      </x:c>
      <x:c r="G12" s="20" t="str">
        <x:v>fenway-kenmore</x:v>
      </x:c>
      <x:c r="H12" s="8"/>
      <x:c r="I12" s="8" t="str">
        <x:f>IF(Teams!C2="Yes","Active team","Inactive: do not use this tab")</x:f>
        <x:v>Active team</x:v>
      </x:c>
      <x:c r="J12" s="8"/>
    </x:row>
    <x:row r="13" ht="24" customHeight="1">
      <x:c r="A13" s="8" t="str">
        <x:v>Hyde Park</x:v>
      </x:c>
      <x:c r="B13" s="21" t="str">
        <x:v>Not opened</x:v>
      </x:c>
      <x:c r="C13" s="23"/>
      <x:c r="D13" s="22" t="str">
        <x:f>IF(B13="Not opened",IF(C13&lt;&gt;"","Clear reveal number",""),IF(C13="","Enter reveal number",IF(COUNTIFS($C$2:$C$38,C13)&gt;1,"Duplicate reveal number",IF(AND(B13="Active",COUNTIFS($B$2:$B$38,"Active")&gt;1),"Resolve other active challenge",""))))</x:f>
      </x:c>
      <x:c r="E13" s="22" t="str">
        <x:f>IF(B13="Not opened","Not revealed",IF(C13="","Enter reveal number",IF(OR(B13="Failed",B13="Abandoned"),IF(MAX($C$2:$C$38)&gt;C13,"No retry: newer card opened","Check card retry rule"),IF(B13="Succeeded","Completed","Work on this card"))))</x:f>
        <x:v>Not revealed</x:v>
      </x:c>
      <x:c r="F13" s="20" t="str">
        <x:v>Blue</x:v>
      </x:c>
      <x:c r="G13" s="20" t="str">
        <x:v>hyde-park</x:v>
      </x:c>
      <x:c r="H13" s="8"/>
      <x:c r="I13" s="8"/>
      <x:c r="J13" s="8"/>
    </x:row>
    <x:row r="14" ht="24" customHeight="1">
      <x:c r="A14" s="8" t="str">
        <x:v>Jamaica Plain</x:v>
      </x:c>
      <x:c r="B14" s="21" t="str">
        <x:v>Not opened</x:v>
      </x:c>
      <x:c r="C14" s="23"/>
      <x:c r="D14" s="22" t="str">
        <x:f>IF(B14="Not opened",IF(C14&lt;&gt;"","Clear reveal number",""),IF(C14="","Enter reveal number",IF(COUNTIFS($C$2:$C$38,C14)&gt;1,"Duplicate reveal number",IF(AND(B14="Active",COUNTIFS($B$2:$B$38,"Active")&gt;1),"Resolve other active challenge",""))))</x:f>
      </x:c>
      <x:c r="E14" s="22" t="str">
        <x:f>IF(B14="Not opened","Not revealed",IF(C14="","Enter reveal number",IF(OR(B14="Failed",B14="Abandoned"),IF(MAX($C$2:$C$38)&gt;C14,"No retry: newer card opened","Check card retry rule"),IF(B14="Succeeded","Completed","Work on this card"))))</x:f>
        <x:v>Not revealed</x:v>
      </x:c>
      <x:c r="F14" s="20" t="str">
        <x:v>Blue</x:v>
      </x:c>
      <x:c r="G14" s="20" t="str">
        <x:v>jamaica-plain</x:v>
      </x:c>
      <x:c r="H14" s="8"/>
      <x:c r="I14" s="8"/>
      <x:c r="J14" s="8"/>
    </x:row>
    <x:row r="15" ht="24" customHeight="1">
      <x:c r="A15" s="8" t="str">
        <x:v>Mattapan</x:v>
      </x:c>
      <x:c r="B15" s="21" t="str">
        <x:v>Not opened</x:v>
      </x:c>
      <x:c r="C15" s="23"/>
      <x:c r="D15" s="22" t="str">
        <x:f>IF(B15="Not opened",IF(C15&lt;&gt;"","Clear reveal number",""),IF(C15="","Enter reveal number",IF(COUNTIFS($C$2:$C$38,C15)&gt;1,"Duplicate reveal number",IF(AND(B15="Active",COUNTIFS($B$2:$B$38,"Active")&gt;1),"Resolve other active challenge",""))))</x:f>
      </x:c>
      <x:c r="E15" s="22" t="str">
        <x:f>IF(B15="Not opened","Not revealed",IF(C15="","Enter reveal number",IF(OR(B15="Failed",B15="Abandoned"),IF(MAX($C$2:$C$38)&gt;C15,"No retry: newer card opened","Check card retry rule"),IF(B15="Succeeded","Completed","Work on this card"))))</x:f>
        <x:v>Not revealed</x:v>
      </x:c>
      <x:c r="F15" s="20" t="str">
        <x:v>Blue</x:v>
      </x:c>
      <x:c r="G15" s="20" t="str">
        <x:v>mattapan</x:v>
      </x:c>
      <x:c r="H15" s="8"/>
      <x:c r="I15" s="8"/>
      <x:c r="J15" s="8"/>
    </x:row>
    <x:row r="16" ht="24" customHeight="1">
      <x:c r="A16" s="8" t="str">
        <x:v>Mission Hill</x:v>
      </x:c>
      <x:c r="B16" s="21" t="str">
        <x:v>Not opened</x:v>
      </x:c>
      <x:c r="C16" s="23"/>
      <x:c r="D16" s="22" t="str">
        <x:f>IF(B16="Not opened",IF(C16&lt;&gt;"","Clear reveal number",""),IF(C16="","Enter reveal number",IF(COUNTIFS($C$2:$C$38,C16)&gt;1,"Duplicate reveal number",IF(AND(B16="Active",COUNTIFS($B$2:$B$38,"Active")&gt;1),"Resolve other active challenge",""))))</x:f>
      </x:c>
      <x:c r="E16" s="22" t="str">
        <x:f>IF(B16="Not opened","Not revealed",IF(C16="","Enter reveal number",IF(OR(B16="Failed",B16="Abandoned"),IF(MAX($C$2:$C$38)&gt;C16,"No retry: newer card opened","Check card retry rule"),IF(B16="Succeeded","Completed","Work on this card"))))</x:f>
        <x:v>Not revealed</x:v>
      </x:c>
      <x:c r="F16" s="20" t="str">
        <x:v>Blue</x:v>
      </x:c>
      <x:c r="G16" s="20" t="str">
        <x:v>mission-hill</x:v>
      </x:c>
      <x:c r="H16" s="8"/>
      <x:c r="I16" s="8"/>
      <x:c r="J16" s="8"/>
    </x:row>
    <x:row r="17" ht="24" customHeight="1">
      <x:c r="A17" s="8" t="str">
        <x:v>North End</x:v>
      </x:c>
      <x:c r="B17" s="21" t="str">
        <x:v>Not opened</x:v>
      </x:c>
      <x:c r="C17" s="23"/>
      <x:c r="D17" s="22" t="str">
        <x:f>IF(B17="Not opened",IF(C17&lt;&gt;"","Clear reveal number",""),IF(C17="","Enter reveal number",IF(COUNTIFS($C$2:$C$38,C17)&gt;1,"Duplicate reveal number",IF(AND(B17="Active",COUNTIFS($B$2:$B$38,"Active")&gt;1),"Resolve other active challenge",""))))</x:f>
      </x:c>
      <x:c r="E17" s="22" t="str">
        <x:f>IF(B17="Not opened","Not revealed",IF(C17="","Enter reveal number",IF(OR(B17="Failed",B17="Abandoned"),IF(MAX($C$2:$C$38)&gt;C17,"No retry: newer card opened","Check card retry rule"),IF(B17="Succeeded","Completed","Work on this card"))))</x:f>
        <x:v>Not revealed</x:v>
      </x:c>
      <x:c r="F17" s="20" t="str">
        <x:v>Blue</x:v>
      </x:c>
      <x:c r="G17" s="20" t="str">
        <x:v>north-end</x:v>
      </x:c>
      <x:c r="H17" s="8"/>
      <x:c r="I17" s="8"/>
      <x:c r="J17" s="8"/>
    </x:row>
    <x:row r="18" ht="24" customHeight="1">
      <x:c r="A18" s="8" t="str">
        <x:v>Roslindale</x:v>
      </x:c>
      <x:c r="B18" s="21" t="str">
        <x:v>Not opened</x:v>
      </x:c>
      <x:c r="C18" s="23"/>
      <x:c r="D18" s="22" t="str">
        <x:f>IF(B18="Not opened",IF(C18&lt;&gt;"","Clear reveal number",""),IF(C18="","Enter reveal number",IF(COUNTIFS($C$2:$C$38,C18)&gt;1,"Duplicate reveal number",IF(AND(B18="Active",COUNTIFS($B$2:$B$38,"Active")&gt;1),"Resolve other active challenge",""))))</x:f>
      </x:c>
      <x:c r="E18" s="22" t="str">
        <x:f>IF(B18="Not opened","Not revealed",IF(C18="","Enter reveal number",IF(OR(B18="Failed",B18="Abandoned"),IF(MAX($C$2:$C$38)&gt;C18,"No retry: newer card opened","Check card retry rule"),IF(B18="Succeeded","Completed","Work on this card"))))</x:f>
        <x:v>Not revealed</x:v>
      </x:c>
      <x:c r="F18" s="20" t="str">
        <x:v>Blue</x:v>
      </x:c>
      <x:c r="G18" s="20" t="str">
        <x:v>roslindale</x:v>
      </x:c>
      <x:c r="H18" s="8"/>
      <x:c r="I18" s="8"/>
      <x:c r="J18" s="8"/>
    </x:row>
    <x:row r="19" ht="24" customHeight="1">
      <x:c r="A19" s="8" t="str">
        <x:v>Roxbury</x:v>
      </x:c>
      <x:c r="B19" s="21" t="str">
        <x:v>Not opened</x:v>
      </x:c>
      <x:c r="C19" s="23"/>
      <x:c r="D19" s="22" t="str">
        <x:f>IF(B19="Not opened",IF(C19&lt;&gt;"","Clear reveal number",""),IF(C19="","Enter reveal number",IF(COUNTIFS($C$2:$C$38,C19)&gt;1,"Duplicate reveal number",IF(AND(B19="Active",COUNTIFS($B$2:$B$38,"Active")&gt;1),"Resolve other active challenge",""))))</x:f>
      </x:c>
      <x:c r="E19" s="22" t="str">
        <x:f>IF(B19="Not opened","Not revealed",IF(C19="","Enter reveal number",IF(OR(B19="Failed",B19="Abandoned"),IF(MAX($C$2:$C$38)&gt;C19,"No retry: newer card opened","Check card retry rule"),IF(B19="Succeeded","Completed","Work on this card"))))</x:f>
        <x:v>Not revealed</x:v>
      </x:c>
      <x:c r="F19" s="20" t="str">
        <x:v>Blue</x:v>
      </x:c>
      <x:c r="G19" s="20" t="str">
        <x:v>roxbury</x:v>
      </x:c>
      <x:c r="H19" s="8"/>
      <x:c r="I19" s="8"/>
      <x:c r="J19" s="8"/>
    </x:row>
    <x:row r="20" ht="24" customHeight="1">
      <x:c r="A20" s="8" t="str">
        <x:v>South Boston</x:v>
      </x:c>
      <x:c r="B20" s="21" t="str">
        <x:v>Not opened</x:v>
      </x:c>
      <x:c r="C20" s="23"/>
      <x:c r="D20" s="22" t="str">
        <x:f>IF(B20="Not opened",IF(C20&lt;&gt;"","Clear reveal number",""),IF(C20="","Enter reveal number",IF(COUNTIFS($C$2:$C$38,C20)&gt;1,"Duplicate reveal number",IF(AND(B20="Active",COUNTIFS($B$2:$B$38,"Active")&gt;1),"Resolve other active challenge",""))))</x:f>
      </x:c>
      <x:c r="E20" s="22" t="str">
        <x:f>IF(B20="Not opened","Not revealed",IF(C20="","Enter reveal number",IF(OR(B20="Failed",B20="Abandoned"),IF(MAX($C$2:$C$38)&gt;C20,"No retry: newer card opened","Check card retry rule"),IF(B20="Succeeded","Completed","Work on this card"))))</x:f>
        <x:v>Not revealed</x:v>
      </x:c>
      <x:c r="F20" s="20" t="str">
        <x:v>Blue</x:v>
      </x:c>
      <x:c r="G20" s="20" t="str">
        <x:v>south-boston</x:v>
      </x:c>
      <x:c r="H20" s="8"/>
      <x:c r="I20" s="8"/>
      <x:c r="J20" s="8"/>
    </x:row>
    <x:row r="21" ht="24" customHeight="1">
      <x:c r="A21" s="8" t="str">
        <x:v>South End</x:v>
      </x:c>
      <x:c r="B21" s="21" t="str">
        <x:v>Not opened</x:v>
      </x:c>
      <x:c r="C21" s="23"/>
      <x:c r="D21" s="22" t="str">
        <x:f>IF(B21="Not opened",IF(C21&lt;&gt;"","Clear reveal number",""),IF(C21="","Enter reveal number",IF(COUNTIFS($C$2:$C$38,C21)&gt;1,"Duplicate reveal number",IF(AND(B21="Active",COUNTIFS($B$2:$B$38,"Active")&gt;1),"Resolve other active challenge",""))))</x:f>
      </x:c>
      <x:c r="E21" s="22" t="str">
        <x:f>IF(B21="Not opened","Not revealed",IF(C21="","Enter reveal number",IF(OR(B21="Failed",B21="Abandoned"),IF(MAX($C$2:$C$38)&gt;C21,"No retry: newer card opened","Check card retry rule"),IF(B21="Succeeded","Completed","Work on this card"))))</x:f>
        <x:v>Not revealed</x:v>
      </x:c>
      <x:c r="F21" s="20" t="str">
        <x:v>Blue</x:v>
      </x:c>
      <x:c r="G21" s="20" t="str">
        <x:v>south-end</x:v>
      </x:c>
      <x:c r="H21" s="8"/>
      <x:c r="I21" s="8"/>
      <x:c r="J21" s="8"/>
    </x:row>
    <x:row r="22" ht="24" customHeight="1">
      <x:c r="A22" s="8" t="str">
        <x:v>West End</x:v>
      </x:c>
      <x:c r="B22" s="21" t="str">
        <x:v>Not opened</x:v>
      </x:c>
      <x:c r="C22" s="23"/>
      <x:c r="D22" s="22" t="str">
        <x:f>IF(B22="Not opened",IF(C22&lt;&gt;"","Clear reveal number",""),IF(C22="","Enter reveal number",IF(COUNTIFS($C$2:$C$38,C22)&gt;1,"Duplicate reveal number",IF(AND(B22="Active",COUNTIFS($B$2:$B$38,"Active")&gt;1),"Resolve other active challenge",""))))</x:f>
      </x:c>
      <x:c r="E22" s="22" t="str">
        <x:f>IF(B22="Not opened","Not revealed",IF(C22="","Enter reveal number",IF(OR(B22="Failed",B22="Abandoned"),IF(MAX($C$2:$C$38)&gt;C22,"No retry: newer card opened","Check card retry rule"),IF(B22="Succeeded","Completed","Work on this card"))))</x:f>
        <x:v>Not revealed</x:v>
      </x:c>
      <x:c r="F22" s="20" t="str">
        <x:v>Blue</x:v>
      </x:c>
      <x:c r="G22" s="20" t="str">
        <x:v>west-end</x:v>
      </x:c>
      <x:c r="H22" s="8"/>
      <x:c r="I22" s="8"/>
      <x:c r="J22" s="8"/>
    </x:row>
    <x:row r="23" ht="24" customHeight="1">
      <x:c r="A23" s="8" t="str">
        <x:v>West Roxbury</x:v>
      </x:c>
      <x:c r="B23" s="21" t="str">
        <x:v>Not opened</x:v>
      </x:c>
      <x:c r="C23" s="23"/>
      <x:c r="D23" s="22" t="str">
        <x:f>IF(B23="Not opened",IF(C23&lt;&gt;"","Clear reveal number",""),IF(C23="","Enter reveal number",IF(COUNTIFS($C$2:$C$38,C23)&gt;1,"Duplicate reveal number",IF(AND(B23="Active",COUNTIFS($B$2:$B$38,"Active")&gt;1),"Resolve other active challenge",""))))</x:f>
      </x:c>
      <x:c r="E23" s="22" t="str">
        <x:f>IF(B23="Not opened","Not revealed",IF(C23="","Enter reveal number",IF(OR(B23="Failed",B23="Abandoned"),IF(MAX($C$2:$C$38)&gt;C23,"No retry: newer card opened","Check card retry rule"),IF(B23="Succeeded","Completed","Work on this card"))))</x:f>
        <x:v>Not revealed</x:v>
      </x:c>
      <x:c r="F23" s="20" t="str">
        <x:v>Blue</x:v>
      </x:c>
      <x:c r="G23" s="20" t="str">
        <x:v>west-roxbury</x:v>
      </x:c>
      <x:c r="H23" s="8"/>
      <x:c r="I23" s="8"/>
      <x:c r="J23" s="8"/>
    </x:row>
    <x:row r="24" ht="24" customHeight="1">
      <x:c r="A24" s="8" t="str">
        <x:v>Seaport</x:v>
      </x:c>
      <x:c r="B24" s="21" t="str">
        <x:v>Not opened</x:v>
      </x:c>
      <x:c r="C24" s="23"/>
      <x:c r="D24" s="22" t="str">
        <x:f>IF(B24="Not opened",IF(C24&lt;&gt;"","Clear reveal number",""),IF(C24="","Enter reveal number",IF(COUNTIFS($C$2:$C$38,C24)&gt;1,"Duplicate reveal number",IF(AND(B24="Active",COUNTIFS($B$2:$B$38,"Active")&gt;1),"Resolve other active challenge",""))))</x:f>
      </x:c>
      <x:c r="E24" s="22" t="str">
        <x:f>IF(B24="Not opened","Not revealed",IF(C24="","Enter reveal number",IF(OR(B24="Failed",B24="Abandoned"),IF(MAX($C$2:$C$38)&gt;C24,"No retry: newer card opened","Check card retry rule"),IF(B24="Succeeded","Completed","Work on this card"))))</x:f>
        <x:v>Not revealed</x:v>
      </x:c>
      <x:c r="F24" s="20" t="str">
        <x:v>Blue</x:v>
      </x:c>
      <x:c r="G24" s="20" t="str">
        <x:v>seaport</x:v>
      </x:c>
      <x:c r="H24" s="8"/>
      <x:c r="I24" s="8"/>
      <x:c r="J24" s="8"/>
    </x:row>
    <x:row r="25" ht="24" customHeight="1">
      <x:c r="A25" s="8" t="str">
        <x:v>Cambridge</x:v>
      </x:c>
      <x:c r="B25" s="21" t="str">
        <x:v>Not opened</x:v>
      </x:c>
      <x:c r="C25" s="23"/>
      <x:c r="D25" s="22" t="str">
        <x:f>IF(B25="Not opened",IF(C25&lt;&gt;"","Clear reveal number",""),IF(C25="","Enter reveal number",IF(COUNTIFS($C$2:$C$38,C25)&gt;1,"Duplicate reveal number",IF(AND(B25="Active",COUNTIFS($B$2:$B$38,"Active")&gt;1),"Resolve other active challenge",""))))</x:f>
      </x:c>
      <x:c r="E25" s="22" t="str">
        <x:f>IF(B25="Not opened","Not revealed",IF(C25="","Enter reveal number",IF(OR(B25="Failed",B25="Abandoned"),IF(MAX($C$2:$C$38)&gt;C25,"No retry: newer card opened","Check card retry rule"),IF(B25="Succeeded","Completed","Work on this card"))))</x:f>
        <x:v>Not revealed</x:v>
      </x:c>
      <x:c r="F25" s="20" t="str">
        <x:v>Blue</x:v>
      </x:c>
      <x:c r="G25" s="20" t="str">
        <x:v>cambridge</x:v>
      </x:c>
      <x:c r="H25" s="8"/>
      <x:c r="I25" s="8"/>
      <x:c r="J25" s="8"/>
    </x:row>
    <x:row r="26" ht="24" customHeight="1">
      <x:c r="A26" s="8" t="str">
        <x:v>Somerville</x:v>
      </x:c>
      <x:c r="B26" s="21" t="str">
        <x:v>Not opened</x:v>
      </x:c>
      <x:c r="C26" s="23"/>
      <x:c r="D26" s="22" t="str">
        <x:f>IF(B26="Not opened",IF(C26&lt;&gt;"","Clear reveal number",""),IF(C26="","Enter reveal number",IF(COUNTIFS($C$2:$C$38,C26)&gt;1,"Duplicate reveal number",IF(AND(B26="Active",COUNTIFS($B$2:$B$38,"Active")&gt;1),"Resolve other active challenge",""))))</x:f>
      </x:c>
      <x:c r="E26" s="22" t="str">
        <x:f>IF(B26="Not opened","Not revealed",IF(C26="","Enter reveal number",IF(OR(B26="Failed",B26="Abandoned"),IF(MAX($C$2:$C$38)&gt;C26,"No retry: newer card opened","Check card retry rule"),IF(B26="Succeeded","Completed","Work on this card"))))</x:f>
        <x:v>Not revealed</x:v>
      </x:c>
      <x:c r="F26" s="20" t="str">
        <x:v>Blue</x:v>
      </x:c>
      <x:c r="G26" s="20" t="str">
        <x:v>somerville</x:v>
      </x:c>
      <x:c r="H26" s="8"/>
      <x:c r="I26" s="8"/>
      <x:c r="J26" s="8"/>
    </x:row>
    <x:row r="27" ht="24" customHeight="1">
      <x:c r="A27" s="8" t="str">
        <x:v>Everett</x:v>
      </x:c>
      <x:c r="B27" s="21" t="str">
        <x:v>Not opened</x:v>
      </x:c>
      <x:c r="C27" s="23"/>
      <x:c r="D27" s="22" t="str">
        <x:f>IF(B27="Not opened",IF(C27&lt;&gt;"","Clear reveal number",""),IF(C27="","Enter reveal number",IF(COUNTIFS($C$2:$C$38,C27)&gt;1,"Duplicate reveal number",IF(AND(B27="Active",COUNTIFS($B$2:$B$38,"Active")&gt;1),"Resolve other active challenge",""))))</x:f>
      </x:c>
      <x:c r="E27" s="22" t="str">
        <x:f>IF(B27="Not opened","Not revealed",IF(C27="","Enter reveal number",IF(OR(B27="Failed",B27="Abandoned"),IF(MAX($C$2:$C$38)&gt;C27,"No retry: newer card opened","Check card retry rule"),IF(B27="Succeeded","Completed","Work on this card"))))</x:f>
        <x:v>Not revealed</x:v>
      </x:c>
      <x:c r="F27" s="20" t="str">
        <x:v>Blue</x:v>
      </x:c>
      <x:c r="G27" s="20" t="str">
        <x:v>everett</x:v>
      </x:c>
      <x:c r="H27" s="8"/>
      <x:c r="I27" s="8"/>
      <x:c r="J27" s="8"/>
    </x:row>
    <x:row r="28" ht="24" customHeight="1">
      <x:c r="A28" s="8" t="str">
        <x:v>Chelsea</x:v>
      </x:c>
      <x:c r="B28" s="21" t="str">
        <x:v>Not opened</x:v>
      </x:c>
      <x:c r="C28" s="23"/>
      <x:c r="D28" s="22" t="str">
        <x:f>IF(B28="Not opened",IF(C28&lt;&gt;"","Clear reveal number",""),IF(C28="","Enter reveal number",IF(COUNTIFS($C$2:$C$38,C28)&gt;1,"Duplicate reveal number",IF(AND(B28="Active",COUNTIFS($B$2:$B$38,"Active")&gt;1),"Resolve other active challenge",""))))</x:f>
      </x:c>
      <x:c r="E28" s="22" t="str">
        <x:f>IF(B28="Not opened","Not revealed",IF(C28="","Enter reveal number",IF(OR(B28="Failed",B28="Abandoned"),IF(MAX($C$2:$C$38)&gt;C28,"No retry: newer card opened","Check card retry rule"),IF(B28="Succeeded","Completed","Work on this card"))))</x:f>
        <x:v>Not revealed</x:v>
      </x:c>
      <x:c r="F28" s="20" t="str">
        <x:v>Blue</x:v>
      </x:c>
      <x:c r="G28" s="20" t="str">
        <x:v>chelsea</x:v>
      </x:c>
      <x:c r="H28" s="8"/>
      <x:c r="I28" s="8"/>
      <x:c r="J28" s="8"/>
    </x:row>
    <x:row r="29" ht="24" customHeight="1">
      <x:c r="A29" s="8" t="str">
        <x:v>Revere</x:v>
      </x:c>
      <x:c r="B29" s="21" t="str">
        <x:v>Not opened</x:v>
      </x:c>
      <x:c r="C29" s="23"/>
      <x:c r="D29" s="22" t="str">
        <x:f>IF(B29="Not opened",IF(C29&lt;&gt;"","Clear reveal number",""),IF(C29="","Enter reveal number",IF(COUNTIFS($C$2:$C$38,C29)&gt;1,"Duplicate reveal number",IF(AND(B29="Active",COUNTIFS($B$2:$B$38,"Active")&gt;1),"Resolve other active challenge",""))))</x:f>
      </x:c>
      <x:c r="E29" s="22" t="str">
        <x:f>IF(B29="Not opened","Not revealed",IF(C29="","Enter reveal number",IF(OR(B29="Failed",B29="Abandoned"),IF(MAX($C$2:$C$38)&gt;C29,"No retry: newer card opened","Check card retry rule"),IF(B29="Succeeded","Completed","Work on this card"))))</x:f>
        <x:v>Not revealed</x:v>
      </x:c>
      <x:c r="F29" s="20" t="str">
        <x:v>Blue</x:v>
      </x:c>
      <x:c r="G29" s="20" t="str">
        <x:v>revere</x:v>
      </x:c>
      <x:c r="H29" s="8"/>
      <x:c r="I29" s="8"/>
      <x:c r="J29" s="8"/>
    </x:row>
    <x:row r="30" ht="24" customHeight="1">
      <x:c r="A30" s="8" t="str">
        <x:v>Malden</x:v>
      </x:c>
      <x:c r="B30" s="21" t="str">
        <x:v>Not opened</x:v>
      </x:c>
      <x:c r="C30" s="23"/>
      <x:c r="D30" s="22" t="str">
        <x:f>IF(B30="Not opened",IF(C30&lt;&gt;"","Clear reveal number",""),IF(C30="","Enter reveal number",IF(COUNTIFS($C$2:$C$38,C30)&gt;1,"Duplicate reveal number",IF(AND(B30="Active",COUNTIFS($B$2:$B$38,"Active")&gt;1),"Resolve other active challenge",""))))</x:f>
      </x:c>
      <x:c r="E30" s="22" t="str">
        <x:f>IF(B30="Not opened","Not revealed",IF(C30="","Enter reveal number",IF(OR(B30="Failed",B30="Abandoned"),IF(MAX($C$2:$C$38)&gt;C30,"No retry: newer card opened","Check card retry rule"),IF(B30="Succeeded","Completed","Work on this card"))))</x:f>
        <x:v>Not revealed</x:v>
      </x:c>
      <x:c r="F30" s="20" t="str">
        <x:v>Blue</x:v>
      </x:c>
      <x:c r="G30" s="20" t="str">
        <x:v>malden</x:v>
      </x:c>
      <x:c r="H30" s="8"/>
      <x:c r="I30" s="8"/>
      <x:c r="J30" s="8"/>
    </x:row>
    <x:row r="31" ht="24" customHeight="1">
      <x:c r="A31" s="8" t="str">
        <x:v>Medford</x:v>
      </x:c>
      <x:c r="B31" s="21" t="str">
        <x:v>Not opened</x:v>
      </x:c>
      <x:c r="C31" s="23"/>
      <x:c r="D31" s="22" t="str">
        <x:f>IF(B31="Not opened",IF(C31&lt;&gt;"","Clear reveal number",""),IF(C31="","Enter reveal number",IF(COUNTIFS($C$2:$C$38,C31)&gt;1,"Duplicate reveal number",IF(AND(B31="Active",COUNTIFS($B$2:$B$38,"Active")&gt;1),"Resolve other active challenge",""))))</x:f>
      </x:c>
      <x:c r="E31" s="22" t="str">
        <x:f>IF(B31="Not opened","Not revealed",IF(C31="","Enter reveal number",IF(OR(B31="Failed",B31="Abandoned"),IF(MAX($C$2:$C$38)&gt;C31,"No retry: newer card opened","Check card retry rule"),IF(B31="Succeeded","Completed","Work on this card"))))</x:f>
        <x:v>Not revealed</x:v>
      </x:c>
      <x:c r="F31" s="20" t="str">
        <x:v>Blue</x:v>
      </x:c>
      <x:c r="G31" s="20" t="str">
        <x:v>medford</x:v>
      </x:c>
      <x:c r="H31" s="8"/>
      <x:c r="I31" s="8"/>
      <x:c r="J31" s="8"/>
    </x:row>
    <x:row r="32" ht="24" customHeight="1">
      <x:c r="A32" s="8" t="str">
        <x:v>Brookline</x:v>
      </x:c>
      <x:c r="B32" s="21" t="str">
        <x:v>Not opened</x:v>
      </x:c>
      <x:c r="C32" s="23"/>
      <x:c r="D32" s="22" t="str">
        <x:f>IF(B32="Not opened",IF(C32&lt;&gt;"","Clear reveal number",""),IF(C32="","Enter reveal number",IF(COUNTIFS($C$2:$C$38,C32)&gt;1,"Duplicate reveal number",IF(AND(B32="Active",COUNTIFS($B$2:$B$38,"Active")&gt;1),"Resolve other active challenge",""))))</x:f>
      </x:c>
      <x:c r="E32" s="22" t="str">
        <x:f>IF(B32="Not opened","Not revealed",IF(C32="","Enter reveal number",IF(OR(B32="Failed",B32="Abandoned"),IF(MAX($C$2:$C$38)&gt;C32,"No retry: newer card opened","Check card retry rule"),IF(B32="Succeeded","Completed","Work on this card"))))</x:f>
        <x:v>Not revealed</x:v>
      </x:c>
      <x:c r="F32" s="20" t="str">
        <x:v>Blue</x:v>
      </x:c>
      <x:c r="G32" s="20" t="str">
        <x:v>brookline</x:v>
      </x:c>
      <x:c r="H32" s="8"/>
      <x:c r="I32" s="8"/>
      <x:c r="J32" s="8"/>
    </x:row>
    <x:row r="33" ht="24" customHeight="1">
      <x:c r="A33" s="8" t="str">
        <x:v>Newton</x:v>
      </x:c>
      <x:c r="B33" s="21" t="str">
        <x:v>Not opened</x:v>
      </x:c>
      <x:c r="C33" s="23"/>
      <x:c r="D33" s="22" t="str">
        <x:f>IF(B33="Not opened",IF(C33&lt;&gt;"","Clear reveal number",""),IF(C33="","Enter reveal number",IF(COUNTIFS($C$2:$C$38,C33)&gt;1,"Duplicate reveal number",IF(AND(B33="Active",COUNTIFS($B$2:$B$38,"Active")&gt;1),"Resolve other active challenge",""))))</x:f>
      </x:c>
      <x:c r="E33" s="22" t="str">
        <x:f>IF(B33="Not opened","Not revealed",IF(C33="","Enter reveal number",IF(OR(B33="Failed",B33="Abandoned"),IF(MAX($C$2:$C$38)&gt;C33,"No retry: newer card opened","Check card retry rule"),IF(B33="Succeeded","Completed","Work on this card"))))</x:f>
        <x:v>Not revealed</x:v>
      </x:c>
      <x:c r="F33" s="20" t="str">
        <x:v>Blue</x:v>
      </x:c>
      <x:c r="G33" s="20" t="str">
        <x:v>newton</x:v>
      </x:c>
      <x:c r="H33" s="8"/>
      <x:c r="I33" s="8"/>
      <x:c r="J33" s="8"/>
    </x:row>
    <x:row r="34" ht="24" customHeight="1">
      <x:c r="A34" s="8" t="str">
        <x:v>Quincy</x:v>
      </x:c>
      <x:c r="B34" s="21" t="str">
        <x:v>Not opened</x:v>
      </x:c>
      <x:c r="C34" s="23"/>
      <x:c r="D34" s="22" t="str">
        <x:f>IF(B34="Not opened",IF(C34&lt;&gt;"","Clear reveal number",""),IF(C34="","Enter reveal number",IF(COUNTIFS($C$2:$C$38,C34)&gt;1,"Duplicate reveal number",IF(AND(B34="Active",COUNTIFS($B$2:$B$38,"Active")&gt;1),"Resolve other active challenge",""))))</x:f>
      </x:c>
      <x:c r="E34" s="22" t="str">
        <x:f>IF(B34="Not opened","Not revealed",IF(C34="","Enter reveal number",IF(OR(B34="Failed",B34="Abandoned"),IF(MAX($C$2:$C$38)&gt;C34,"No retry: newer card opened","Check card retry rule"),IF(B34="Succeeded","Completed","Work on this card"))))</x:f>
        <x:v>Not revealed</x:v>
      </x:c>
      <x:c r="F34" s="20" t="str">
        <x:v>Blue</x:v>
      </x:c>
      <x:c r="G34" s="20" t="str">
        <x:v>quincy</x:v>
      </x:c>
      <x:c r="H34" s="8"/>
      <x:c r="I34" s="8"/>
      <x:c r="J34" s="8"/>
    </x:row>
    <x:row r="35" ht="24" customHeight="1">
      <x:c r="A35" s="8" t="str">
        <x:v>Braintree</x:v>
      </x:c>
      <x:c r="B35" s="21" t="str">
        <x:v>Not opened</x:v>
      </x:c>
      <x:c r="C35" s="23"/>
      <x:c r="D35" s="22" t="str">
        <x:f>IF(B35="Not opened",IF(C35&lt;&gt;"","Clear reveal number",""),IF(C35="","Enter reveal number",IF(COUNTIFS($C$2:$C$38,C35)&gt;1,"Duplicate reveal number",IF(AND(B35="Active",COUNTIFS($B$2:$B$38,"Active")&gt;1),"Resolve other active challenge",""))))</x:f>
      </x:c>
      <x:c r="E35" s="22" t="str">
        <x:f>IF(B35="Not opened","Not revealed",IF(C35="","Enter reveal number",IF(OR(B35="Failed",B35="Abandoned"),IF(MAX($C$2:$C$38)&gt;C35,"No retry: newer card opened","Check card retry rule"),IF(B35="Succeeded","Completed","Work on this card"))))</x:f>
        <x:v>Not revealed</x:v>
      </x:c>
      <x:c r="F35" s="20" t="str">
        <x:v>Blue</x:v>
      </x:c>
      <x:c r="G35" s="20" t="str">
        <x:v>braintree</x:v>
      </x:c>
      <x:c r="H35" s="8"/>
      <x:c r="I35" s="8"/>
      <x:c r="J35" s="8"/>
    </x:row>
    <x:row r="36" ht="24" customHeight="1">
      <x:c r="A36" s="8" t="str">
        <x:v>Winthrop</x:v>
      </x:c>
      <x:c r="B36" s="21" t="str">
        <x:v>Not opened</x:v>
      </x:c>
      <x:c r="C36" s="23"/>
      <x:c r="D36" s="22" t="str">
        <x:f>IF(B36="Not opened",IF(C36&lt;&gt;"","Clear reveal number",""),IF(C36="","Enter reveal number",IF(COUNTIFS($C$2:$C$38,C36)&gt;1,"Duplicate reveal number",IF(AND(B36="Active",COUNTIFS($B$2:$B$38,"Active")&gt;1),"Resolve other active challenge",""))))</x:f>
      </x:c>
      <x:c r="E36" s="22" t="str">
        <x:f>IF(B36="Not opened","Not revealed",IF(C36="","Enter reveal number",IF(OR(B36="Failed",B36="Abandoned"),IF(MAX($C$2:$C$38)&gt;C36,"No retry: newer card opened","Check card retry rule"),IF(B36="Succeeded","Completed","Work on this card"))))</x:f>
        <x:v>Not revealed</x:v>
      </x:c>
      <x:c r="F36" s="20" t="str">
        <x:v>Blue</x:v>
      </x:c>
      <x:c r="G36" s="20" t="str">
        <x:v>winthrop</x:v>
      </x:c>
      <x:c r="H36" s="8"/>
      <x:c r="I36" s="8"/>
      <x:c r="J36" s="8"/>
    </x:row>
    <x:row r="37" ht="24" customHeight="1">
      <x:c r="A37" s="8" t="str">
        <x:v>Milton</x:v>
      </x:c>
      <x:c r="B37" s="21" t="str">
        <x:v>Not opened</x:v>
      </x:c>
      <x:c r="C37" s="23"/>
      <x:c r="D37" s="22" t="str">
        <x:f>IF(B37="Not opened",IF(C37&lt;&gt;"","Clear reveal number",""),IF(C37="","Enter reveal number",IF(COUNTIFS($C$2:$C$38,C37)&gt;1,"Duplicate reveal number",IF(AND(B37="Active",COUNTIFS($B$2:$B$38,"Active")&gt;1),"Resolve other active challenge",""))))</x:f>
      </x:c>
      <x:c r="E37" s="22" t="str">
        <x:f>IF(B37="Not opened","Not revealed",IF(C37="","Enter reveal number",IF(OR(B37="Failed",B37="Abandoned"),IF(MAX($C$2:$C$38)&gt;C37,"No retry: newer card opened","Check card retry rule"),IF(B37="Succeeded","Completed","Work on this card"))))</x:f>
        <x:v>Not revealed</x:v>
      </x:c>
      <x:c r="F37" s="20" t="str">
        <x:v>Blue</x:v>
      </x:c>
      <x:c r="G37" s="20" t="str">
        <x:v>milton</x:v>
      </x:c>
      <x:c r="H37" s="8"/>
      <x:c r="I37" s="8"/>
      <x:c r="J37" s="8"/>
    </x:row>
    <x:row r="38" ht="24" customHeight="1">
      <x:c r="A38" s="8" t="str">
        <x:v>Longwood</x:v>
      </x:c>
      <x:c r="B38" s="21" t="str">
        <x:v>Not opened</x:v>
      </x:c>
      <x:c r="C38" s="23"/>
      <x:c r="D38" s="22" t="str">
        <x:f>IF(B38="Not opened",IF(C38&lt;&gt;"","Clear reveal number",""),IF(C38="","Enter reveal number",IF(COUNTIFS($C$2:$C$38,C38)&gt;1,"Duplicate reveal number",IF(AND(B38="Active",COUNTIFS($B$2:$B$38,"Active")&gt;1),"Resolve other active challenge",""))))</x:f>
      </x:c>
      <x:c r="E38" s="22" t="str">
        <x:f>IF(B38="Not opened","Not revealed",IF(C38="","Enter reveal number",IF(OR(B38="Failed",B38="Abandoned"),IF(MAX($C$2:$C$38)&gt;C38,"No retry: newer card opened","Check card retry rule"),IF(B38="Succeeded","Completed","Work on this card"))))</x:f>
        <x:v>Not revealed</x:v>
      </x:c>
      <x:c r="F38" s="20" t="str">
        <x:v>Blue</x:v>
      </x:c>
      <x:c r="G38" s="20" t="str">
        <x:v>longwood</x:v>
      </x:c>
      <x:c r="H38" s="8"/>
      <x:c r="I38" s="8"/>
      <x:c r="J38" s="8"/>
    </x:row>
  </x:sheetData>
  <x:conditionalFormatting sqref="D2:D38">
    <x:cfRule type="expression" dxfId="6" priority="1">
      <x:formula>LEN(D2)&gt;0</x:formula>
    </x:cfRule>
  </x:conditionalFormatting>
  <x:conditionalFormatting sqref="B2:B38">
    <x:cfRule type="cellIs" dxfId="7" priority="2" operator="equal">
      <x:formula>"Active"</x:formula>
    </x:cfRule>
    <x:cfRule type="cellIs" dxfId="8" priority="3" operator="equal">
      <x:formula>"Failed"</x:formula>
    </x:cfRule>
    <x:cfRule type="cellIs" dxfId="9" priority="4" operator="equal">
      <x:formula>"Succeeded"</x:formula>
    </x:cfRule>
  </x:conditionalFormatting>
  <x:conditionalFormatting sqref="E2:E38">
    <x:cfRule type="containsText" dxfId="10" priority="5" operator="containsText" text="No retry"/>
  </x:conditionalFormatting>
  <x:conditionalFormatting sqref="I2:I2">
    <x:cfRule type="containsText" dxfId="11" priority="6" operator="containsText" text="WARNING"/>
  </x:conditionalFormatting>
  <x:dataValidations count="2">
    <x:dataValidation type="list" sqref="B2:B38">
      <x:formula1>"Not opened,Active,Succeeded,Failed,Abandoned"</x:formula1>
    </x:dataValidation>
    <x:dataValidation type="whole" operator="between" sqref="C2:C38">
      <x:formula1>1</x:formula1>
      <x:formula2>37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EC4F39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.6299991607666" hidden="0" customWidth="1"/>
    <x:col min="2" max="2" width="14.380000114440918" hidden="0" customWidth="1"/>
    <x:col min="3" max="3" width="14.380000114440918" hidden="0" customWidth="1"/>
    <x:col min="4" max="4" width="31.25" hidden="0" customWidth="1"/>
    <x:col min="5" max="5" width="32.5" hidden="0" customWidth="1"/>
    <x:col min="6" max="6" width="8.130000114440918" customWidth="1" hidden="1"/>
    <x:col min="7" max="7" width="26.25" customWidth="1" hidden="1"/>
    <x:col min="8" max="8" width="3.130000114440918" hidden="0" customWidth="1"/>
    <x:col min="9" max="9" width="48.130001068115234" hidden="0" customWidth="1"/>
    <x:col min="10" max="10" width="6.880000114440918" hidden="0" customWidth="1"/>
  </x:cols>
  <x:sheetData>
    <x:row r="1" ht="30" customHeight="1">
      <x:c r="A1" s="12" t="str">
        <x:v>Territory</x:v>
      </x:c>
      <x:c r="B1" s="12" t="str">
        <x:v>Status</x:v>
      </x:c>
      <x:c r="C1" s="12" t="str">
        <x:v>Reveal Order</x:v>
      </x:c>
      <x:c r="D1" s="12" t="str">
        <x:v>Entry Warning</x:v>
      </x:c>
      <x:c r="E1" s="12" t="str">
        <x:v>Retry Guidance</x:v>
      </x:c>
      <x:c r="F1" s="19" t="str">
        <x:v>Team</x:v>
      </x:c>
      <x:c r="G1" s="19" t="str">
        <x:v>Territory ID</x:v>
      </x:c>
      <x:c r="H1" s="8"/>
      <x:c r="I1" s="13" t="str">
        <x:v>RED TEAM / CURRENT CHALLENGE</x:v>
      </x:c>
      <x:c r="J1" s="8"/>
    </x:row>
    <x:row r="2" ht="24" customHeight="1">
      <x:c r="A2" s="8" t="str">
        <x:v>Allston</x:v>
      </x:c>
      <x:c r="B2" s="21" t="str">
        <x:v>Not opened</x:v>
      </x:c>
      <x:c r="C2" s="23"/>
      <x:c r="D2" s="22" t="str">
        <x:f>IF(B2="Not opened",IF(C2&lt;&gt;"","Clear reveal number",""),IF(C2="","Enter reveal number",IF(COUNTIFS($C$2:$C$38,C2)&gt;1,"Duplicate reveal number",IF(AND(B2="Active",COUNTIFS($B$2:$B$38,"Active")&gt;1),"Resolve other active challenge",""))))</x:f>
      </x:c>
      <x:c r="E2" s="22" t="str">
        <x:f>IF(B2="Not opened","Not revealed",IF(C2="","Enter reveal number",IF(OR(B2="Failed",B2="Abandoned"),IF(MAX($C$2:$C$38)&gt;C2,"No retry: newer card opened","Check card retry rule"),IF(B2="Succeeded","Completed","Work on this card"))))</x:f>
        <x:v>Not revealed</x:v>
      </x:c>
      <x:c r="F2" s="20" t="str">
        <x:v>Red</x:v>
      </x:c>
      <x:c r="G2" s="20" t="str">
        <x:v>allston</x:v>
      </x:c>
      <x:c r="H2" s="8"/>
      <x:c r="I2" s="8" t="str">
        <x:f>IF(COUNTIFS($B$2:$B$38,"Active")&gt;1,"WARNING: multiple active challenges",IF(COUNTIFS($B$2:$B$38,"Active")=1,"One active challenge","No active challenge"))</x:f>
        <x:v>No active challenge</x:v>
      </x:c>
      <x:c r="J2" s="8"/>
    </x:row>
    <x:row r="3" ht="24" customHeight="1">
      <x:c r="A3" s="8" t="str">
        <x:v>Back Bay</x:v>
      </x:c>
      <x:c r="B3" s="21" t="str">
        <x:v>Not opened</x:v>
      </x:c>
      <x:c r="C3" s="23"/>
      <x:c r="D3" s="22" t="str">
        <x:f>IF(B3="Not opened",IF(C3&lt;&gt;"","Clear reveal number",""),IF(C3="","Enter reveal number",IF(COUNTIFS($C$2:$C$38,C3)&gt;1,"Duplicate reveal number",IF(AND(B3="Active",COUNTIFS($B$2:$B$38,"Active")&gt;1),"Resolve other active challenge",""))))</x:f>
      </x:c>
      <x:c r="E3" s="22" t="str">
        <x:f>IF(B3="Not opened","Not revealed",IF(C3="","Enter reveal number",IF(OR(B3="Failed",B3="Abandoned"),IF(MAX($C$2:$C$38)&gt;C3,"No retry: newer card opened","Check card retry rule"),IF(B3="Succeeded","Completed","Work on this card"))))</x:f>
        <x:v>Not revealed</x:v>
      </x:c>
      <x:c r="F3" s="20" t="str">
        <x:v>Red</x:v>
      </x:c>
      <x:c r="G3" s="20" t="str">
        <x:v>back-bay</x:v>
      </x:c>
      <x:c r="H3" s="8"/>
      <x:c r="I3" s="8"/>
      <x:c r="J3" s="8"/>
    </x:row>
    <x:row r="4" ht="24" customHeight="1">
      <x:c r="A4" s="8" t="str">
        <x:v>Bay Village</x:v>
      </x:c>
      <x:c r="B4" s="21" t="str">
        <x:v>Not opened</x:v>
      </x:c>
      <x:c r="C4" s="23"/>
      <x:c r="D4" s="22" t="str">
        <x:f>IF(B4="Not opened",IF(C4&lt;&gt;"","Clear reveal number",""),IF(C4="","Enter reveal number",IF(COUNTIFS($C$2:$C$38,C4)&gt;1,"Duplicate reveal number",IF(AND(B4="Active",COUNTIFS($B$2:$B$38,"Active")&gt;1),"Resolve other active challenge",""))))</x:f>
      </x:c>
      <x:c r="E4" s="22" t="str">
        <x:f>IF(B4="Not opened","Not revealed",IF(C4="","Enter reveal number",IF(OR(B4="Failed",B4="Abandoned"),IF(MAX($C$2:$C$38)&gt;C4,"No retry: newer card opened","Check card retry rule"),IF(B4="Succeeded","Completed","Work on this card"))))</x:f>
        <x:v>Not revealed</x:v>
      </x:c>
      <x:c r="F4" s="20" t="str">
        <x:v>Red</x:v>
      </x:c>
      <x:c r="G4" s="20" t="str">
        <x:v>bay-village</x:v>
      </x:c>
      <x:c r="H4" s="8"/>
      <x:c r="I4" s="8" t="str">
        <x:v>Next reveal number</x:v>
      </x:c>
      <x:c r="J4" s="18" t="n">
        <x:f>MAX($C$2:$C$38)+1</x:f>
        <x:v>1</x:v>
      </x:c>
    </x:row>
    <x:row r="5" ht="24" customHeight="1">
      <x:c r="A5" s="8" t="str">
        <x:v>Beacon Hill</x:v>
      </x:c>
      <x:c r="B5" s="21" t="str">
        <x:v>Not opened</x:v>
      </x:c>
      <x:c r="C5" s="23"/>
      <x:c r="D5" s="22" t="str">
        <x:f>IF(B5="Not opened",IF(C5&lt;&gt;"","Clear reveal number",""),IF(C5="","Enter reveal number",IF(COUNTIFS($C$2:$C$38,C5)&gt;1,"Duplicate reveal number",IF(AND(B5="Active",COUNTIFS($B$2:$B$38,"Active")&gt;1),"Resolve other active challenge",""))))</x:f>
      </x:c>
      <x:c r="E5" s="22" t="str">
        <x:f>IF(B5="Not opened","Not revealed",IF(C5="","Enter reveal number",IF(OR(B5="Failed",B5="Abandoned"),IF(MAX($C$2:$C$38)&gt;C5,"No retry: newer card opened","Check card retry rule"),IF(B5="Succeeded","Completed","Work on this card"))))</x:f>
        <x:v>Not revealed</x:v>
      </x:c>
      <x:c r="F5" s="20" t="str">
        <x:v>Red</x:v>
      </x:c>
      <x:c r="G5" s="20" t="str">
        <x:v>beacon-hill</x:v>
      </x:c>
      <x:c r="H5" s="8"/>
      <x:c r="I5" s="8"/>
      <x:c r="J5" s="8"/>
    </x:row>
    <x:row r="6" ht="24" customHeight="1">
      <x:c r="A6" s="8" t="str">
        <x:v>Brighton</x:v>
      </x:c>
      <x:c r="B6" s="21" t="str">
        <x:v>Not opened</x:v>
      </x:c>
      <x:c r="C6" s="23"/>
      <x:c r="D6" s="22" t="str">
        <x:f>IF(B6="Not opened",IF(C6&lt;&gt;"","Clear reveal number",""),IF(C6="","Enter reveal number",IF(COUNTIFS($C$2:$C$38,C6)&gt;1,"Duplicate reveal number",IF(AND(B6="Active",COUNTIFS($B$2:$B$38,"Active")&gt;1),"Resolve other active challenge",""))))</x:f>
      </x:c>
      <x:c r="E6" s="22" t="str">
        <x:f>IF(B6="Not opened","Not revealed",IF(C6="","Enter reveal number",IF(OR(B6="Failed",B6="Abandoned"),IF(MAX($C$2:$C$38)&gt;C6,"No retry: newer card opened","Check card retry rule"),IF(B6="Succeeded","Completed","Work on this card"))))</x:f>
        <x:v>Not revealed</x:v>
      </x:c>
      <x:c r="F6" s="20" t="str">
        <x:v>Red</x:v>
      </x:c>
      <x:c r="G6" s="20" t="str">
        <x:v>brighton</x:v>
      </x:c>
      <x:c r="H6" s="8"/>
      <x:c r="I6" s="8" t="str">
        <x:v>Edit only Reveal Order and Status.</x:v>
      </x:c>
      <x:c r="J6" s="8"/>
    </x:row>
    <x:row r="7" ht="24" customHeight="1">
      <x:c r="A7" s="8" t="str">
        <x:v>Charlestown</x:v>
      </x:c>
      <x:c r="B7" s="21" t="str">
        <x:v>Not opened</x:v>
      </x:c>
      <x:c r="C7" s="23"/>
      <x:c r="D7" s="22" t="str">
        <x:f>IF(B7="Not opened",IF(C7&lt;&gt;"","Clear reveal number",""),IF(C7="","Enter reveal number",IF(COUNTIFS($C$2:$C$38,C7)&gt;1,"Duplicate reveal number",IF(AND(B7="Active",COUNTIFS($B$2:$B$38,"Active")&gt;1),"Resolve other active challenge",""))))</x:f>
      </x:c>
      <x:c r="E7" s="22" t="str">
        <x:f>IF(B7="Not opened","Not revealed",IF(C7="","Enter reveal number",IF(OR(B7="Failed",B7="Abandoned"),IF(MAX($C$2:$C$38)&gt;C7,"No retry: newer card opened","Check card retry rule"),IF(B7="Succeeded","Completed","Work on this card"))))</x:f>
        <x:v>Not revealed</x:v>
      </x:c>
      <x:c r="F7" s="20" t="str">
        <x:v>Red</x:v>
      </x:c>
      <x:c r="G7" s="20" t="str">
        <x:v>charlestown</x:v>
      </x:c>
      <x:c r="H7" s="8"/>
      <x:c r="I7" s="8" t="str">
        <x:v>Keep the reveal number when retrying.</x:v>
      </x:c>
      <x:c r="J7" s="8"/>
    </x:row>
    <x:row r="8" ht="24" customHeight="1">
      <x:c r="A8" s="8" t="str">
        <x:v>Chinatown</x:v>
      </x:c>
      <x:c r="B8" s="21" t="str">
        <x:v>Not opened</x:v>
      </x:c>
      <x:c r="C8" s="23"/>
      <x:c r="D8" s="22" t="str">
        <x:f>IF(B8="Not opened",IF(C8&lt;&gt;"","Clear reveal number",""),IF(C8="","Enter reveal number",IF(COUNTIFS($C$2:$C$38,C8)&gt;1,"Duplicate reveal number",IF(AND(B8="Active",COUNTIFS($B$2:$B$38,"Active")&gt;1),"Resolve other active challenge",""))))</x:f>
      </x:c>
      <x:c r="E8" s="22" t="str">
        <x:f>IF(B8="Not opened","Not revealed",IF(C8="","Enter reveal number",IF(OR(B8="Failed",B8="Abandoned"),IF(MAX($C$2:$C$38)&gt;C8,"No retry: newer card opened","Check card retry rule"),IF(B8="Succeeded","Completed","Work on this card"))))</x:f>
        <x:v>Not revealed</x:v>
      </x:c>
      <x:c r="F8" s="20" t="str">
        <x:v>Red</x:v>
      </x:c>
      <x:c r="G8" s="20" t="str">
        <x:v>chinatown-leather-district</x:v>
      </x:c>
      <x:c r="H8" s="8"/>
      <x:c r="I8" s="8" t="str">
        <x:v>Resolve this card before opening another.</x:v>
      </x:c>
      <x:c r="J8" s="8"/>
    </x:row>
    <x:row r="9" ht="24" customHeight="1">
      <x:c r="A9" s="8" t="str">
        <x:v>Dorchester</x:v>
      </x:c>
      <x:c r="B9" s="21" t="str">
        <x:v>Not opened</x:v>
      </x:c>
      <x:c r="C9" s="23"/>
      <x:c r="D9" s="22" t="str">
        <x:f>IF(B9="Not opened",IF(C9&lt;&gt;"","Clear reveal number",""),IF(C9="","Enter reveal number",IF(COUNTIFS($C$2:$C$38,C9)&gt;1,"Duplicate reveal number",IF(AND(B9="Active",COUNTIFS($B$2:$B$38,"Active")&gt;1),"Resolve other active challenge",""))))</x:f>
      </x:c>
      <x:c r="E9" s="22" t="str">
        <x:f>IF(B9="Not opened","Not revealed",IF(C9="","Enter reveal number",IF(OR(B9="Failed",B9="Abandoned"),IF(MAX($C$2:$C$38)&gt;C9,"No retry: newer card opened","Check card retry rule"),IF(B9="Succeeded","Completed","Work on this card"))))</x:f>
        <x:v>Not revealed</x:v>
      </x:c>
      <x:c r="F9" s="20" t="str">
        <x:v>Red</x:v>
      </x:c>
      <x:c r="G9" s="20" t="str">
        <x:v>dorchester</x:v>
      </x:c>
      <x:c r="H9" s="8"/>
      <x:c r="I9" s="8" t="str">
        <x:v>An older card cannot be retried after a newer reveal.</x:v>
      </x:c>
      <x:c r="J9" s="8"/>
    </x:row>
    <x:row r="10" ht="24" customHeight="1">
      <x:c r="A10" s="8" t="str">
        <x:v>Downtown</x:v>
      </x:c>
      <x:c r="B10" s="21" t="str">
        <x:v>Not opened</x:v>
      </x:c>
      <x:c r="C10" s="23"/>
      <x:c r="D10" s="22" t="str">
        <x:f>IF(B10="Not opened",IF(C10&lt;&gt;"","Clear reveal number",""),IF(C10="","Enter reveal number",IF(COUNTIFS($C$2:$C$38,C10)&gt;1,"Duplicate reveal number",IF(AND(B10="Active",COUNTIFS($B$2:$B$38,"Active")&gt;1),"Resolve other active challenge",""))))</x:f>
      </x:c>
      <x:c r="E10" s="22" t="str">
        <x:f>IF(B10="Not opened","Not revealed",IF(C10="","Enter reveal number",IF(OR(B10="Failed",B10="Abandoned"),IF(MAX($C$2:$C$38)&gt;C10,"No retry: newer card opened","Check card retry rule"),IF(B10="Succeeded","Completed","Work on this card"))))</x:f>
        <x:v>Not revealed</x:v>
      </x:c>
      <x:c r="F10" s="20" t="str">
        <x:v>Red</x:v>
      </x:c>
      <x:c r="G10" s="20" t="str">
        <x:v>downtown</x:v>
      </x:c>
      <x:c r="H10" s="8"/>
      <x:c r="I10" s="8" t="str">
        <x:v>Whether a card allows retries is written on that card.</x:v>
      </x:c>
      <x:c r="J10" s="8"/>
    </x:row>
    <x:row r="11" ht="24" customHeight="1">
      <x:c r="A11" s="8" t="str">
        <x:v>East Boston</x:v>
      </x:c>
      <x:c r="B11" s="21" t="str">
        <x:v>Not opened</x:v>
      </x:c>
      <x:c r="C11" s="23"/>
      <x:c r="D11" s="22" t="str">
        <x:f>IF(B11="Not opened",IF(C11&lt;&gt;"","Clear reveal number",""),IF(C11="","Enter reveal number",IF(COUNTIFS($C$2:$C$38,C11)&gt;1,"Duplicate reveal number",IF(AND(B11="Active",COUNTIFS($B$2:$B$38,"Active")&gt;1),"Resolve other active challenge",""))))</x:f>
      </x:c>
      <x:c r="E11" s="22" t="str">
        <x:f>IF(B11="Not opened","Not revealed",IF(C11="","Enter reveal number",IF(OR(B11="Failed",B11="Abandoned"),IF(MAX($C$2:$C$38)&gt;C11,"No retry: newer card opened","Check card retry rule"),IF(B11="Succeeded","Completed","Work on this card"))))</x:f>
        <x:v>Not revealed</x:v>
      </x:c>
      <x:c r="F11" s="20" t="str">
        <x:v>Red</x:v>
      </x:c>
      <x:c r="G11" s="20" t="str">
        <x:v>east-boston</x:v>
      </x:c>
      <x:c r="H11" s="8"/>
      <x:c r="I11" s="8"/>
      <x:c r="J11" s="8"/>
    </x:row>
    <x:row r="12" ht="24" customHeight="1">
      <x:c r="A12" s="8" t="str">
        <x:v>Fenway–Kenmore</x:v>
      </x:c>
      <x:c r="B12" s="21" t="str">
        <x:v>Not opened</x:v>
      </x:c>
      <x:c r="C12" s="23"/>
      <x:c r="D12" s="22" t="str">
        <x:f>IF(B12="Not opened",IF(C12&lt;&gt;"","Clear reveal number",""),IF(C12="","Enter reveal number",IF(COUNTIFS($C$2:$C$38,C12)&gt;1,"Duplicate reveal number",IF(AND(B12="Active",COUNTIFS($B$2:$B$38,"Active")&gt;1),"Resolve other active challenge",""))))</x:f>
      </x:c>
      <x:c r="E12" s="22" t="str">
        <x:f>IF(B12="Not opened","Not revealed",IF(C12="","Enter reveal number",IF(OR(B12="Failed",B12="Abandoned"),IF(MAX($C$2:$C$38)&gt;C12,"No retry: newer card opened","Check card retry rule"),IF(B12="Succeeded","Completed","Work on this card"))))</x:f>
        <x:v>Not revealed</x:v>
      </x:c>
      <x:c r="F12" s="20" t="str">
        <x:v>Red</x:v>
      </x:c>
      <x:c r="G12" s="20" t="str">
        <x:v>fenway-kenmore</x:v>
      </x:c>
      <x:c r="H12" s="8"/>
      <x:c r="I12" s="8" t="str">
        <x:f>IF(Teams!C3="Yes","Active team","Inactive: do not use this tab")</x:f>
        <x:v>Active team</x:v>
      </x:c>
      <x:c r="J12" s="8"/>
    </x:row>
    <x:row r="13" ht="24" customHeight="1">
      <x:c r="A13" s="8" t="str">
        <x:v>Hyde Park</x:v>
      </x:c>
      <x:c r="B13" s="21" t="str">
        <x:v>Not opened</x:v>
      </x:c>
      <x:c r="C13" s="23"/>
      <x:c r="D13" s="22" t="str">
        <x:f>IF(B13="Not opened",IF(C13&lt;&gt;"","Clear reveal number",""),IF(C13="","Enter reveal number",IF(COUNTIFS($C$2:$C$38,C13)&gt;1,"Duplicate reveal number",IF(AND(B13="Active",COUNTIFS($B$2:$B$38,"Active")&gt;1),"Resolve other active challenge",""))))</x:f>
      </x:c>
      <x:c r="E13" s="22" t="str">
        <x:f>IF(B13="Not opened","Not revealed",IF(C13="","Enter reveal number",IF(OR(B13="Failed",B13="Abandoned"),IF(MAX($C$2:$C$38)&gt;C13,"No retry: newer card opened","Check card retry rule"),IF(B13="Succeeded","Completed","Work on this card"))))</x:f>
        <x:v>Not revealed</x:v>
      </x:c>
      <x:c r="F13" s="20" t="str">
        <x:v>Red</x:v>
      </x:c>
      <x:c r="G13" s="20" t="str">
        <x:v>hyde-park</x:v>
      </x:c>
      <x:c r="H13" s="8"/>
      <x:c r="I13" s="8"/>
      <x:c r="J13" s="8"/>
    </x:row>
    <x:row r="14" ht="24" customHeight="1">
      <x:c r="A14" s="8" t="str">
        <x:v>Jamaica Plain</x:v>
      </x:c>
      <x:c r="B14" s="21" t="str">
        <x:v>Not opened</x:v>
      </x:c>
      <x:c r="C14" s="23"/>
      <x:c r="D14" s="22" t="str">
        <x:f>IF(B14="Not opened",IF(C14&lt;&gt;"","Clear reveal number",""),IF(C14="","Enter reveal number",IF(COUNTIFS($C$2:$C$38,C14)&gt;1,"Duplicate reveal number",IF(AND(B14="Active",COUNTIFS($B$2:$B$38,"Active")&gt;1),"Resolve other active challenge",""))))</x:f>
      </x:c>
      <x:c r="E14" s="22" t="str">
        <x:f>IF(B14="Not opened","Not revealed",IF(C14="","Enter reveal number",IF(OR(B14="Failed",B14="Abandoned"),IF(MAX($C$2:$C$38)&gt;C14,"No retry: newer card opened","Check card retry rule"),IF(B14="Succeeded","Completed","Work on this card"))))</x:f>
        <x:v>Not revealed</x:v>
      </x:c>
      <x:c r="F14" s="20" t="str">
        <x:v>Red</x:v>
      </x:c>
      <x:c r="G14" s="20" t="str">
        <x:v>jamaica-plain</x:v>
      </x:c>
      <x:c r="H14" s="8"/>
      <x:c r="I14" s="8"/>
      <x:c r="J14" s="8"/>
    </x:row>
    <x:row r="15" ht="24" customHeight="1">
      <x:c r="A15" s="8" t="str">
        <x:v>Mattapan</x:v>
      </x:c>
      <x:c r="B15" s="21" t="str">
        <x:v>Not opened</x:v>
      </x:c>
      <x:c r="C15" s="23"/>
      <x:c r="D15" s="22" t="str">
        <x:f>IF(B15="Not opened",IF(C15&lt;&gt;"","Clear reveal number",""),IF(C15="","Enter reveal number",IF(COUNTIFS($C$2:$C$38,C15)&gt;1,"Duplicate reveal number",IF(AND(B15="Active",COUNTIFS($B$2:$B$38,"Active")&gt;1),"Resolve other active challenge",""))))</x:f>
      </x:c>
      <x:c r="E15" s="22" t="str">
        <x:f>IF(B15="Not opened","Not revealed",IF(C15="","Enter reveal number",IF(OR(B15="Failed",B15="Abandoned"),IF(MAX($C$2:$C$38)&gt;C15,"No retry: newer card opened","Check card retry rule"),IF(B15="Succeeded","Completed","Work on this card"))))</x:f>
        <x:v>Not revealed</x:v>
      </x:c>
      <x:c r="F15" s="20" t="str">
        <x:v>Red</x:v>
      </x:c>
      <x:c r="G15" s="20" t="str">
        <x:v>mattapan</x:v>
      </x:c>
      <x:c r="H15" s="8"/>
      <x:c r="I15" s="8"/>
      <x:c r="J15" s="8"/>
    </x:row>
    <x:row r="16" ht="24" customHeight="1">
      <x:c r="A16" s="8" t="str">
        <x:v>Mission Hill</x:v>
      </x:c>
      <x:c r="B16" s="21" t="str">
        <x:v>Not opened</x:v>
      </x:c>
      <x:c r="C16" s="23"/>
      <x:c r="D16" s="22" t="str">
        <x:f>IF(B16="Not opened",IF(C16&lt;&gt;"","Clear reveal number",""),IF(C16="","Enter reveal number",IF(COUNTIFS($C$2:$C$38,C16)&gt;1,"Duplicate reveal number",IF(AND(B16="Active",COUNTIFS($B$2:$B$38,"Active")&gt;1),"Resolve other active challenge",""))))</x:f>
      </x:c>
      <x:c r="E16" s="22" t="str">
        <x:f>IF(B16="Not opened","Not revealed",IF(C16="","Enter reveal number",IF(OR(B16="Failed",B16="Abandoned"),IF(MAX($C$2:$C$38)&gt;C16,"No retry: newer card opened","Check card retry rule"),IF(B16="Succeeded","Completed","Work on this card"))))</x:f>
        <x:v>Not revealed</x:v>
      </x:c>
      <x:c r="F16" s="20" t="str">
        <x:v>Red</x:v>
      </x:c>
      <x:c r="G16" s="20" t="str">
        <x:v>mission-hill</x:v>
      </x:c>
      <x:c r="H16" s="8"/>
      <x:c r="I16" s="8"/>
      <x:c r="J16" s="8"/>
    </x:row>
    <x:row r="17" ht="24" customHeight="1">
      <x:c r="A17" s="8" t="str">
        <x:v>North End</x:v>
      </x:c>
      <x:c r="B17" s="21" t="str">
        <x:v>Not opened</x:v>
      </x:c>
      <x:c r="C17" s="23"/>
      <x:c r="D17" s="22" t="str">
        <x:f>IF(B17="Not opened",IF(C17&lt;&gt;"","Clear reveal number",""),IF(C17="","Enter reveal number",IF(COUNTIFS($C$2:$C$38,C17)&gt;1,"Duplicate reveal number",IF(AND(B17="Active",COUNTIFS($B$2:$B$38,"Active")&gt;1),"Resolve other active challenge",""))))</x:f>
      </x:c>
      <x:c r="E17" s="22" t="str">
        <x:f>IF(B17="Not opened","Not revealed",IF(C17="","Enter reveal number",IF(OR(B17="Failed",B17="Abandoned"),IF(MAX($C$2:$C$38)&gt;C17,"No retry: newer card opened","Check card retry rule"),IF(B17="Succeeded","Completed","Work on this card"))))</x:f>
        <x:v>Not revealed</x:v>
      </x:c>
      <x:c r="F17" s="20" t="str">
        <x:v>Red</x:v>
      </x:c>
      <x:c r="G17" s="20" t="str">
        <x:v>north-end</x:v>
      </x:c>
      <x:c r="H17" s="8"/>
      <x:c r="I17" s="8"/>
      <x:c r="J17" s="8"/>
    </x:row>
    <x:row r="18" ht="24" customHeight="1">
      <x:c r="A18" s="8" t="str">
        <x:v>Roslindale</x:v>
      </x:c>
      <x:c r="B18" s="21" t="str">
        <x:v>Not opened</x:v>
      </x:c>
      <x:c r="C18" s="23"/>
      <x:c r="D18" s="22" t="str">
        <x:f>IF(B18="Not opened",IF(C18&lt;&gt;"","Clear reveal number",""),IF(C18="","Enter reveal number",IF(COUNTIFS($C$2:$C$38,C18)&gt;1,"Duplicate reveal number",IF(AND(B18="Active",COUNTIFS($B$2:$B$38,"Active")&gt;1),"Resolve other active challenge",""))))</x:f>
      </x:c>
      <x:c r="E18" s="22" t="str">
        <x:f>IF(B18="Not opened","Not revealed",IF(C18="","Enter reveal number",IF(OR(B18="Failed",B18="Abandoned"),IF(MAX($C$2:$C$38)&gt;C18,"No retry: newer card opened","Check card retry rule"),IF(B18="Succeeded","Completed","Work on this card"))))</x:f>
        <x:v>Not revealed</x:v>
      </x:c>
      <x:c r="F18" s="20" t="str">
        <x:v>Red</x:v>
      </x:c>
      <x:c r="G18" s="20" t="str">
        <x:v>roslindale</x:v>
      </x:c>
      <x:c r="H18" s="8"/>
      <x:c r="I18" s="8"/>
      <x:c r="J18" s="8"/>
    </x:row>
    <x:row r="19" ht="24" customHeight="1">
      <x:c r="A19" s="8" t="str">
        <x:v>Roxbury</x:v>
      </x:c>
      <x:c r="B19" s="21" t="str">
        <x:v>Not opened</x:v>
      </x:c>
      <x:c r="C19" s="23"/>
      <x:c r="D19" s="22" t="str">
        <x:f>IF(B19="Not opened",IF(C19&lt;&gt;"","Clear reveal number",""),IF(C19="","Enter reveal number",IF(COUNTIFS($C$2:$C$38,C19)&gt;1,"Duplicate reveal number",IF(AND(B19="Active",COUNTIFS($B$2:$B$38,"Active")&gt;1),"Resolve other active challenge",""))))</x:f>
      </x:c>
      <x:c r="E19" s="22" t="str">
        <x:f>IF(B19="Not opened","Not revealed",IF(C19="","Enter reveal number",IF(OR(B19="Failed",B19="Abandoned"),IF(MAX($C$2:$C$38)&gt;C19,"No retry: newer card opened","Check card retry rule"),IF(B19="Succeeded","Completed","Work on this card"))))</x:f>
        <x:v>Not revealed</x:v>
      </x:c>
      <x:c r="F19" s="20" t="str">
        <x:v>Red</x:v>
      </x:c>
      <x:c r="G19" s="20" t="str">
        <x:v>roxbury</x:v>
      </x:c>
      <x:c r="H19" s="8"/>
      <x:c r="I19" s="8"/>
      <x:c r="J19" s="8"/>
    </x:row>
    <x:row r="20" ht="24" customHeight="1">
      <x:c r="A20" s="8" t="str">
        <x:v>South Boston</x:v>
      </x:c>
      <x:c r="B20" s="21" t="str">
        <x:v>Not opened</x:v>
      </x:c>
      <x:c r="C20" s="23"/>
      <x:c r="D20" s="22" t="str">
        <x:f>IF(B20="Not opened",IF(C20&lt;&gt;"","Clear reveal number",""),IF(C20="","Enter reveal number",IF(COUNTIFS($C$2:$C$38,C20)&gt;1,"Duplicate reveal number",IF(AND(B20="Active",COUNTIFS($B$2:$B$38,"Active")&gt;1),"Resolve other active challenge",""))))</x:f>
      </x:c>
      <x:c r="E20" s="22" t="str">
        <x:f>IF(B20="Not opened","Not revealed",IF(C20="","Enter reveal number",IF(OR(B20="Failed",B20="Abandoned"),IF(MAX($C$2:$C$38)&gt;C20,"No retry: newer card opened","Check card retry rule"),IF(B20="Succeeded","Completed","Work on this card"))))</x:f>
        <x:v>Not revealed</x:v>
      </x:c>
      <x:c r="F20" s="20" t="str">
        <x:v>Red</x:v>
      </x:c>
      <x:c r="G20" s="20" t="str">
        <x:v>south-boston</x:v>
      </x:c>
      <x:c r="H20" s="8"/>
      <x:c r="I20" s="8"/>
      <x:c r="J20" s="8"/>
    </x:row>
    <x:row r="21" ht="24" customHeight="1">
      <x:c r="A21" s="8" t="str">
        <x:v>South End</x:v>
      </x:c>
      <x:c r="B21" s="21" t="str">
        <x:v>Not opened</x:v>
      </x:c>
      <x:c r="C21" s="23"/>
      <x:c r="D21" s="22" t="str">
        <x:f>IF(B21="Not opened",IF(C21&lt;&gt;"","Clear reveal number",""),IF(C21="","Enter reveal number",IF(COUNTIFS($C$2:$C$38,C21)&gt;1,"Duplicate reveal number",IF(AND(B21="Active",COUNTIFS($B$2:$B$38,"Active")&gt;1),"Resolve other active challenge",""))))</x:f>
      </x:c>
      <x:c r="E21" s="22" t="str">
        <x:f>IF(B21="Not opened","Not revealed",IF(C21="","Enter reveal number",IF(OR(B21="Failed",B21="Abandoned"),IF(MAX($C$2:$C$38)&gt;C21,"No retry: newer card opened","Check card retry rule"),IF(B21="Succeeded","Completed","Work on this card"))))</x:f>
        <x:v>Not revealed</x:v>
      </x:c>
      <x:c r="F21" s="20" t="str">
        <x:v>Red</x:v>
      </x:c>
      <x:c r="G21" s="20" t="str">
        <x:v>south-end</x:v>
      </x:c>
      <x:c r="H21" s="8"/>
      <x:c r="I21" s="8"/>
      <x:c r="J21" s="8"/>
    </x:row>
    <x:row r="22" ht="24" customHeight="1">
      <x:c r="A22" s="8" t="str">
        <x:v>West End</x:v>
      </x:c>
      <x:c r="B22" s="21" t="str">
        <x:v>Not opened</x:v>
      </x:c>
      <x:c r="C22" s="23"/>
      <x:c r="D22" s="22" t="str">
        <x:f>IF(B22="Not opened",IF(C22&lt;&gt;"","Clear reveal number",""),IF(C22="","Enter reveal number",IF(COUNTIFS($C$2:$C$38,C22)&gt;1,"Duplicate reveal number",IF(AND(B22="Active",COUNTIFS($B$2:$B$38,"Active")&gt;1),"Resolve other active challenge",""))))</x:f>
      </x:c>
      <x:c r="E22" s="22" t="str">
        <x:f>IF(B22="Not opened","Not revealed",IF(C22="","Enter reveal number",IF(OR(B22="Failed",B22="Abandoned"),IF(MAX($C$2:$C$38)&gt;C22,"No retry: newer card opened","Check card retry rule"),IF(B22="Succeeded","Completed","Work on this card"))))</x:f>
        <x:v>Not revealed</x:v>
      </x:c>
      <x:c r="F22" s="20" t="str">
        <x:v>Red</x:v>
      </x:c>
      <x:c r="G22" s="20" t="str">
        <x:v>west-end</x:v>
      </x:c>
      <x:c r="H22" s="8"/>
      <x:c r="I22" s="8"/>
      <x:c r="J22" s="8"/>
    </x:row>
    <x:row r="23" ht="24" customHeight="1">
      <x:c r="A23" s="8" t="str">
        <x:v>West Roxbury</x:v>
      </x:c>
      <x:c r="B23" s="21" t="str">
        <x:v>Not opened</x:v>
      </x:c>
      <x:c r="C23" s="23"/>
      <x:c r="D23" s="22" t="str">
        <x:f>IF(B23="Not opened",IF(C23&lt;&gt;"","Clear reveal number",""),IF(C23="","Enter reveal number",IF(COUNTIFS($C$2:$C$38,C23)&gt;1,"Duplicate reveal number",IF(AND(B23="Active",COUNTIFS($B$2:$B$38,"Active")&gt;1),"Resolve other active challenge",""))))</x:f>
      </x:c>
      <x:c r="E23" s="22" t="str">
        <x:f>IF(B23="Not opened","Not revealed",IF(C23="","Enter reveal number",IF(OR(B23="Failed",B23="Abandoned"),IF(MAX($C$2:$C$38)&gt;C23,"No retry: newer card opened","Check card retry rule"),IF(B23="Succeeded","Completed","Work on this card"))))</x:f>
        <x:v>Not revealed</x:v>
      </x:c>
      <x:c r="F23" s="20" t="str">
        <x:v>Red</x:v>
      </x:c>
      <x:c r="G23" s="20" t="str">
        <x:v>west-roxbury</x:v>
      </x:c>
      <x:c r="H23" s="8"/>
      <x:c r="I23" s="8"/>
      <x:c r="J23" s="8"/>
    </x:row>
    <x:row r="24" ht="24" customHeight="1">
      <x:c r="A24" s="8" t="str">
        <x:v>Seaport</x:v>
      </x:c>
      <x:c r="B24" s="21" t="str">
        <x:v>Not opened</x:v>
      </x:c>
      <x:c r="C24" s="23"/>
      <x:c r="D24" s="22" t="str">
        <x:f>IF(B24="Not opened",IF(C24&lt;&gt;"","Clear reveal number",""),IF(C24="","Enter reveal number",IF(COUNTIFS($C$2:$C$38,C24)&gt;1,"Duplicate reveal number",IF(AND(B24="Active",COUNTIFS($B$2:$B$38,"Active")&gt;1),"Resolve other active challenge",""))))</x:f>
      </x:c>
      <x:c r="E24" s="22" t="str">
        <x:f>IF(B24="Not opened","Not revealed",IF(C24="","Enter reveal number",IF(OR(B24="Failed",B24="Abandoned"),IF(MAX($C$2:$C$38)&gt;C24,"No retry: newer card opened","Check card retry rule"),IF(B24="Succeeded","Completed","Work on this card"))))</x:f>
        <x:v>Not revealed</x:v>
      </x:c>
      <x:c r="F24" s="20" t="str">
        <x:v>Red</x:v>
      </x:c>
      <x:c r="G24" s="20" t="str">
        <x:v>seaport</x:v>
      </x:c>
      <x:c r="H24" s="8"/>
      <x:c r="I24" s="8"/>
      <x:c r="J24" s="8"/>
    </x:row>
    <x:row r="25" ht="24" customHeight="1">
      <x:c r="A25" s="8" t="str">
        <x:v>Cambridge</x:v>
      </x:c>
      <x:c r="B25" s="21" t="str">
        <x:v>Not opened</x:v>
      </x:c>
      <x:c r="C25" s="23"/>
      <x:c r="D25" s="22" t="str">
        <x:f>IF(B25="Not opened",IF(C25&lt;&gt;"","Clear reveal number",""),IF(C25="","Enter reveal number",IF(COUNTIFS($C$2:$C$38,C25)&gt;1,"Duplicate reveal number",IF(AND(B25="Active",COUNTIFS($B$2:$B$38,"Active")&gt;1),"Resolve other active challenge",""))))</x:f>
      </x:c>
      <x:c r="E25" s="22" t="str">
        <x:f>IF(B25="Not opened","Not revealed",IF(C25="","Enter reveal number",IF(OR(B25="Failed",B25="Abandoned"),IF(MAX($C$2:$C$38)&gt;C25,"No retry: newer card opened","Check card retry rule"),IF(B25="Succeeded","Completed","Work on this card"))))</x:f>
        <x:v>Not revealed</x:v>
      </x:c>
      <x:c r="F25" s="20" t="str">
        <x:v>Red</x:v>
      </x:c>
      <x:c r="G25" s="20" t="str">
        <x:v>cambridge</x:v>
      </x:c>
      <x:c r="H25" s="8"/>
      <x:c r="I25" s="8"/>
      <x:c r="J25" s="8"/>
    </x:row>
    <x:row r="26" ht="24" customHeight="1">
      <x:c r="A26" s="8" t="str">
        <x:v>Somerville</x:v>
      </x:c>
      <x:c r="B26" s="21" t="str">
        <x:v>Not opened</x:v>
      </x:c>
      <x:c r="C26" s="23"/>
      <x:c r="D26" s="22" t="str">
        <x:f>IF(B26="Not opened",IF(C26&lt;&gt;"","Clear reveal number",""),IF(C26="","Enter reveal number",IF(COUNTIFS($C$2:$C$38,C26)&gt;1,"Duplicate reveal number",IF(AND(B26="Active",COUNTIFS($B$2:$B$38,"Active")&gt;1),"Resolve other active challenge",""))))</x:f>
      </x:c>
      <x:c r="E26" s="22" t="str">
        <x:f>IF(B26="Not opened","Not revealed",IF(C26="","Enter reveal number",IF(OR(B26="Failed",B26="Abandoned"),IF(MAX($C$2:$C$38)&gt;C26,"No retry: newer card opened","Check card retry rule"),IF(B26="Succeeded","Completed","Work on this card"))))</x:f>
        <x:v>Not revealed</x:v>
      </x:c>
      <x:c r="F26" s="20" t="str">
        <x:v>Red</x:v>
      </x:c>
      <x:c r="G26" s="20" t="str">
        <x:v>somerville</x:v>
      </x:c>
      <x:c r="H26" s="8"/>
      <x:c r="I26" s="8"/>
      <x:c r="J26" s="8"/>
    </x:row>
    <x:row r="27" ht="24" customHeight="1">
      <x:c r="A27" s="8" t="str">
        <x:v>Everett</x:v>
      </x:c>
      <x:c r="B27" s="21" t="str">
        <x:v>Not opened</x:v>
      </x:c>
      <x:c r="C27" s="23"/>
      <x:c r="D27" s="22" t="str">
        <x:f>IF(B27="Not opened",IF(C27&lt;&gt;"","Clear reveal number",""),IF(C27="","Enter reveal number",IF(COUNTIFS($C$2:$C$38,C27)&gt;1,"Duplicate reveal number",IF(AND(B27="Active",COUNTIFS($B$2:$B$38,"Active")&gt;1),"Resolve other active challenge",""))))</x:f>
      </x:c>
      <x:c r="E27" s="22" t="str">
        <x:f>IF(B27="Not opened","Not revealed",IF(C27="","Enter reveal number",IF(OR(B27="Failed",B27="Abandoned"),IF(MAX($C$2:$C$38)&gt;C27,"No retry: newer card opened","Check card retry rule"),IF(B27="Succeeded","Completed","Work on this card"))))</x:f>
        <x:v>Not revealed</x:v>
      </x:c>
      <x:c r="F27" s="20" t="str">
        <x:v>Red</x:v>
      </x:c>
      <x:c r="G27" s="20" t="str">
        <x:v>everett</x:v>
      </x:c>
      <x:c r="H27" s="8"/>
      <x:c r="I27" s="8"/>
      <x:c r="J27" s="8"/>
    </x:row>
    <x:row r="28" ht="24" customHeight="1">
      <x:c r="A28" s="8" t="str">
        <x:v>Chelsea</x:v>
      </x:c>
      <x:c r="B28" s="21" t="str">
        <x:v>Not opened</x:v>
      </x:c>
      <x:c r="C28" s="23"/>
      <x:c r="D28" s="22" t="str">
        <x:f>IF(B28="Not opened",IF(C28&lt;&gt;"","Clear reveal number",""),IF(C28="","Enter reveal number",IF(COUNTIFS($C$2:$C$38,C28)&gt;1,"Duplicate reveal number",IF(AND(B28="Active",COUNTIFS($B$2:$B$38,"Active")&gt;1),"Resolve other active challenge",""))))</x:f>
      </x:c>
      <x:c r="E28" s="22" t="str">
        <x:f>IF(B28="Not opened","Not revealed",IF(C28="","Enter reveal number",IF(OR(B28="Failed",B28="Abandoned"),IF(MAX($C$2:$C$38)&gt;C28,"No retry: newer card opened","Check card retry rule"),IF(B28="Succeeded","Completed","Work on this card"))))</x:f>
        <x:v>Not revealed</x:v>
      </x:c>
      <x:c r="F28" s="20" t="str">
        <x:v>Red</x:v>
      </x:c>
      <x:c r="G28" s="20" t="str">
        <x:v>chelsea</x:v>
      </x:c>
      <x:c r="H28" s="8"/>
      <x:c r="I28" s="8"/>
      <x:c r="J28" s="8"/>
    </x:row>
    <x:row r="29" ht="24" customHeight="1">
      <x:c r="A29" s="8" t="str">
        <x:v>Revere</x:v>
      </x:c>
      <x:c r="B29" s="21" t="str">
        <x:v>Not opened</x:v>
      </x:c>
      <x:c r="C29" s="23"/>
      <x:c r="D29" s="22" t="str">
        <x:f>IF(B29="Not opened",IF(C29&lt;&gt;"","Clear reveal number",""),IF(C29="","Enter reveal number",IF(COUNTIFS($C$2:$C$38,C29)&gt;1,"Duplicate reveal number",IF(AND(B29="Active",COUNTIFS($B$2:$B$38,"Active")&gt;1),"Resolve other active challenge",""))))</x:f>
      </x:c>
      <x:c r="E29" s="22" t="str">
        <x:f>IF(B29="Not opened","Not revealed",IF(C29="","Enter reveal number",IF(OR(B29="Failed",B29="Abandoned"),IF(MAX($C$2:$C$38)&gt;C29,"No retry: newer card opened","Check card retry rule"),IF(B29="Succeeded","Completed","Work on this card"))))</x:f>
        <x:v>Not revealed</x:v>
      </x:c>
      <x:c r="F29" s="20" t="str">
        <x:v>Red</x:v>
      </x:c>
      <x:c r="G29" s="20" t="str">
        <x:v>revere</x:v>
      </x:c>
      <x:c r="H29" s="8"/>
      <x:c r="I29" s="8"/>
      <x:c r="J29" s="8"/>
    </x:row>
    <x:row r="30" ht="24" customHeight="1">
      <x:c r="A30" s="8" t="str">
        <x:v>Malden</x:v>
      </x:c>
      <x:c r="B30" s="21" t="str">
        <x:v>Not opened</x:v>
      </x:c>
      <x:c r="C30" s="23"/>
      <x:c r="D30" s="22" t="str">
        <x:f>IF(B30="Not opened",IF(C30&lt;&gt;"","Clear reveal number",""),IF(C30="","Enter reveal number",IF(COUNTIFS($C$2:$C$38,C30)&gt;1,"Duplicate reveal number",IF(AND(B30="Active",COUNTIFS($B$2:$B$38,"Active")&gt;1),"Resolve other active challenge",""))))</x:f>
      </x:c>
      <x:c r="E30" s="22" t="str">
        <x:f>IF(B30="Not opened","Not revealed",IF(C30="","Enter reveal number",IF(OR(B30="Failed",B30="Abandoned"),IF(MAX($C$2:$C$38)&gt;C30,"No retry: newer card opened","Check card retry rule"),IF(B30="Succeeded","Completed","Work on this card"))))</x:f>
        <x:v>Not revealed</x:v>
      </x:c>
      <x:c r="F30" s="20" t="str">
        <x:v>Red</x:v>
      </x:c>
      <x:c r="G30" s="20" t="str">
        <x:v>malden</x:v>
      </x:c>
      <x:c r="H30" s="8"/>
      <x:c r="I30" s="8"/>
      <x:c r="J30" s="8"/>
    </x:row>
    <x:row r="31" ht="24" customHeight="1">
      <x:c r="A31" s="8" t="str">
        <x:v>Medford</x:v>
      </x:c>
      <x:c r="B31" s="21" t="str">
        <x:v>Not opened</x:v>
      </x:c>
      <x:c r="C31" s="23"/>
      <x:c r="D31" s="22" t="str">
        <x:f>IF(B31="Not opened",IF(C31&lt;&gt;"","Clear reveal number",""),IF(C31="","Enter reveal number",IF(COUNTIFS($C$2:$C$38,C31)&gt;1,"Duplicate reveal number",IF(AND(B31="Active",COUNTIFS($B$2:$B$38,"Active")&gt;1),"Resolve other active challenge",""))))</x:f>
      </x:c>
      <x:c r="E31" s="22" t="str">
        <x:f>IF(B31="Not opened","Not revealed",IF(C31="","Enter reveal number",IF(OR(B31="Failed",B31="Abandoned"),IF(MAX($C$2:$C$38)&gt;C31,"No retry: newer card opened","Check card retry rule"),IF(B31="Succeeded","Completed","Work on this card"))))</x:f>
        <x:v>Not revealed</x:v>
      </x:c>
      <x:c r="F31" s="20" t="str">
        <x:v>Red</x:v>
      </x:c>
      <x:c r="G31" s="20" t="str">
        <x:v>medford</x:v>
      </x:c>
      <x:c r="H31" s="8"/>
      <x:c r="I31" s="8"/>
      <x:c r="J31" s="8"/>
    </x:row>
    <x:row r="32" ht="24" customHeight="1">
      <x:c r="A32" s="8" t="str">
        <x:v>Brookline</x:v>
      </x:c>
      <x:c r="B32" s="21" t="str">
        <x:v>Not opened</x:v>
      </x:c>
      <x:c r="C32" s="23"/>
      <x:c r="D32" s="22" t="str">
        <x:f>IF(B32="Not opened",IF(C32&lt;&gt;"","Clear reveal number",""),IF(C32="","Enter reveal number",IF(COUNTIFS($C$2:$C$38,C32)&gt;1,"Duplicate reveal number",IF(AND(B32="Active",COUNTIFS($B$2:$B$38,"Active")&gt;1),"Resolve other active challenge",""))))</x:f>
      </x:c>
      <x:c r="E32" s="22" t="str">
        <x:f>IF(B32="Not opened","Not revealed",IF(C32="","Enter reveal number",IF(OR(B32="Failed",B32="Abandoned"),IF(MAX($C$2:$C$38)&gt;C32,"No retry: newer card opened","Check card retry rule"),IF(B32="Succeeded","Completed","Work on this card"))))</x:f>
        <x:v>Not revealed</x:v>
      </x:c>
      <x:c r="F32" s="20" t="str">
        <x:v>Red</x:v>
      </x:c>
      <x:c r="G32" s="20" t="str">
        <x:v>brookline</x:v>
      </x:c>
      <x:c r="H32" s="8"/>
      <x:c r="I32" s="8"/>
      <x:c r="J32" s="8"/>
    </x:row>
    <x:row r="33" ht="24" customHeight="1">
      <x:c r="A33" s="8" t="str">
        <x:v>Newton</x:v>
      </x:c>
      <x:c r="B33" s="21" t="str">
        <x:v>Not opened</x:v>
      </x:c>
      <x:c r="C33" s="23"/>
      <x:c r="D33" s="22" t="str">
        <x:f>IF(B33="Not opened",IF(C33&lt;&gt;"","Clear reveal number",""),IF(C33="","Enter reveal number",IF(COUNTIFS($C$2:$C$38,C33)&gt;1,"Duplicate reveal number",IF(AND(B33="Active",COUNTIFS($B$2:$B$38,"Active")&gt;1),"Resolve other active challenge",""))))</x:f>
      </x:c>
      <x:c r="E33" s="22" t="str">
        <x:f>IF(B33="Not opened","Not revealed",IF(C33="","Enter reveal number",IF(OR(B33="Failed",B33="Abandoned"),IF(MAX($C$2:$C$38)&gt;C33,"No retry: newer card opened","Check card retry rule"),IF(B33="Succeeded","Completed","Work on this card"))))</x:f>
        <x:v>Not revealed</x:v>
      </x:c>
      <x:c r="F33" s="20" t="str">
        <x:v>Red</x:v>
      </x:c>
      <x:c r="G33" s="20" t="str">
        <x:v>newton</x:v>
      </x:c>
      <x:c r="H33" s="8"/>
      <x:c r="I33" s="8"/>
      <x:c r="J33" s="8"/>
    </x:row>
    <x:row r="34" ht="24" customHeight="1">
      <x:c r="A34" s="8" t="str">
        <x:v>Quincy</x:v>
      </x:c>
      <x:c r="B34" s="21" t="str">
        <x:v>Not opened</x:v>
      </x:c>
      <x:c r="C34" s="23"/>
      <x:c r="D34" s="22" t="str">
        <x:f>IF(B34="Not opened",IF(C34&lt;&gt;"","Clear reveal number",""),IF(C34="","Enter reveal number",IF(COUNTIFS($C$2:$C$38,C34)&gt;1,"Duplicate reveal number",IF(AND(B34="Active",COUNTIFS($B$2:$B$38,"Active")&gt;1),"Resolve other active challenge",""))))</x:f>
      </x:c>
      <x:c r="E34" s="22" t="str">
        <x:f>IF(B34="Not opened","Not revealed",IF(C34="","Enter reveal number",IF(OR(B34="Failed",B34="Abandoned"),IF(MAX($C$2:$C$38)&gt;C34,"No retry: newer card opened","Check card retry rule"),IF(B34="Succeeded","Completed","Work on this card"))))</x:f>
        <x:v>Not revealed</x:v>
      </x:c>
      <x:c r="F34" s="20" t="str">
        <x:v>Red</x:v>
      </x:c>
      <x:c r="G34" s="20" t="str">
        <x:v>quincy</x:v>
      </x:c>
      <x:c r="H34" s="8"/>
      <x:c r="I34" s="8"/>
      <x:c r="J34" s="8"/>
    </x:row>
    <x:row r="35" ht="24" customHeight="1">
      <x:c r="A35" s="8" t="str">
        <x:v>Braintree</x:v>
      </x:c>
      <x:c r="B35" s="21" t="str">
        <x:v>Not opened</x:v>
      </x:c>
      <x:c r="C35" s="23"/>
      <x:c r="D35" s="22" t="str">
        <x:f>IF(B35="Not opened",IF(C35&lt;&gt;"","Clear reveal number",""),IF(C35="","Enter reveal number",IF(COUNTIFS($C$2:$C$38,C35)&gt;1,"Duplicate reveal number",IF(AND(B35="Active",COUNTIFS($B$2:$B$38,"Active")&gt;1),"Resolve other active challenge",""))))</x:f>
      </x:c>
      <x:c r="E35" s="22" t="str">
        <x:f>IF(B35="Not opened","Not revealed",IF(C35="","Enter reveal number",IF(OR(B35="Failed",B35="Abandoned"),IF(MAX($C$2:$C$38)&gt;C35,"No retry: newer card opened","Check card retry rule"),IF(B35="Succeeded","Completed","Work on this card"))))</x:f>
        <x:v>Not revealed</x:v>
      </x:c>
      <x:c r="F35" s="20" t="str">
        <x:v>Red</x:v>
      </x:c>
      <x:c r="G35" s="20" t="str">
        <x:v>braintree</x:v>
      </x:c>
      <x:c r="H35" s="8"/>
      <x:c r="I35" s="8"/>
      <x:c r="J35" s="8"/>
    </x:row>
    <x:row r="36" ht="24" customHeight="1">
      <x:c r="A36" s="8" t="str">
        <x:v>Winthrop</x:v>
      </x:c>
      <x:c r="B36" s="21" t="str">
        <x:v>Not opened</x:v>
      </x:c>
      <x:c r="C36" s="23"/>
      <x:c r="D36" s="22" t="str">
        <x:f>IF(B36="Not opened",IF(C36&lt;&gt;"","Clear reveal number",""),IF(C36="","Enter reveal number",IF(COUNTIFS($C$2:$C$38,C36)&gt;1,"Duplicate reveal number",IF(AND(B36="Active",COUNTIFS($B$2:$B$38,"Active")&gt;1),"Resolve other active challenge",""))))</x:f>
      </x:c>
      <x:c r="E36" s="22" t="str">
        <x:f>IF(B36="Not opened","Not revealed",IF(C36="","Enter reveal number",IF(OR(B36="Failed",B36="Abandoned"),IF(MAX($C$2:$C$38)&gt;C36,"No retry: newer card opened","Check card retry rule"),IF(B36="Succeeded","Completed","Work on this card"))))</x:f>
        <x:v>Not revealed</x:v>
      </x:c>
      <x:c r="F36" s="20" t="str">
        <x:v>Red</x:v>
      </x:c>
      <x:c r="G36" s="20" t="str">
        <x:v>winthrop</x:v>
      </x:c>
      <x:c r="H36" s="8"/>
      <x:c r="I36" s="8"/>
      <x:c r="J36" s="8"/>
    </x:row>
    <x:row r="37" ht="24" customHeight="1">
      <x:c r="A37" s="8" t="str">
        <x:v>Milton</x:v>
      </x:c>
      <x:c r="B37" s="21" t="str">
        <x:v>Not opened</x:v>
      </x:c>
      <x:c r="C37" s="23"/>
      <x:c r="D37" s="22" t="str">
        <x:f>IF(B37="Not opened",IF(C37&lt;&gt;"","Clear reveal number",""),IF(C37="","Enter reveal number",IF(COUNTIFS($C$2:$C$38,C37)&gt;1,"Duplicate reveal number",IF(AND(B37="Active",COUNTIFS($B$2:$B$38,"Active")&gt;1),"Resolve other active challenge",""))))</x:f>
      </x:c>
      <x:c r="E37" s="22" t="str">
        <x:f>IF(B37="Not opened","Not revealed",IF(C37="","Enter reveal number",IF(OR(B37="Failed",B37="Abandoned"),IF(MAX($C$2:$C$38)&gt;C37,"No retry: newer card opened","Check card retry rule"),IF(B37="Succeeded","Completed","Work on this card"))))</x:f>
        <x:v>Not revealed</x:v>
      </x:c>
      <x:c r="F37" s="20" t="str">
        <x:v>Red</x:v>
      </x:c>
      <x:c r="G37" s="20" t="str">
        <x:v>milton</x:v>
      </x:c>
      <x:c r="H37" s="8"/>
      <x:c r="I37" s="8"/>
      <x:c r="J37" s="8"/>
    </x:row>
    <x:row r="38" ht="24" customHeight="1">
      <x:c r="A38" s="8" t="str">
        <x:v>Longwood</x:v>
      </x:c>
      <x:c r="B38" s="21" t="str">
        <x:v>Not opened</x:v>
      </x:c>
      <x:c r="C38" s="23"/>
      <x:c r="D38" s="22" t="str">
        <x:f>IF(B38="Not opened",IF(C38&lt;&gt;"","Clear reveal number",""),IF(C38="","Enter reveal number",IF(COUNTIFS($C$2:$C$38,C38)&gt;1,"Duplicate reveal number",IF(AND(B38="Active",COUNTIFS($B$2:$B$38,"Active")&gt;1),"Resolve other active challenge",""))))</x:f>
      </x:c>
      <x:c r="E38" s="22" t="str">
        <x:f>IF(B38="Not opened","Not revealed",IF(C38="","Enter reveal number",IF(OR(B38="Failed",B38="Abandoned"),IF(MAX($C$2:$C$38)&gt;C38,"No retry: newer card opened","Check card retry rule"),IF(B38="Succeeded","Completed","Work on this card"))))</x:f>
        <x:v>Not revealed</x:v>
      </x:c>
      <x:c r="F38" s="20" t="str">
        <x:v>Red</x:v>
      </x:c>
      <x:c r="G38" s="20" t="str">
        <x:v>longwood</x:v>
      </x:c>
      <x:c r="H38" s="8"/>
      <x:c r="I38" s="8"/>
      <x:c r="J38" s="8"/>
    </x:row>
  </x:sheetData>
  <x:conditionalFormatting sqref="D2:D38">
    <x:cfRule type="expression" dxfId="12" priority="1">
      <x:formula>LEN(D2)&gt;0</x:formula>
    </x:cfRule>
  </x:conditionalFormatting>
  <x:conditionalFormatting sqref="B2:B38">
    <x:cfRule type="cellIs" dxfId="13" priority="2" operator="equal">
      <x:formula>"Active"</x:formula>
    </x:cfRule>
    <x:cfRule type="cellIs" dxfId="14" priority="3" operator="equal">
      <x:formula>"Failed"</x:formula>
    </x:cfRule>
    <x:cfRule type="cellIs" dxfId="15" priority="4" operator="equal">
      <x:formula>"Succeeded"</x:formula>
    </x:cfRule>
  </x:conditionalFormatting>
  <x:conditionalFormatting sqref="E2:E38">
    <x:cfRule type="containsText" dxfId="16" priority="5" operator="containsText" text="No retry"/>
  </x:conditionalFormatting>
  <x:conditionalFormatting sqref="I2:I2">
    <x:cfRule type="containsText" dxfId="17" priority="6" operator="containsText" text="WARNING"/>
  </x:conditionalFormatting>
  <x:dataValidations count="2">
    <x:dataValidation type="list" sqref="B2:B38">
      <x:formula1>"Not opened,Active,Succeeded,Failed,Abandoned"</x:formula1>
    </x:dataValidation>
    <x:dataValidation type="whole" operator="between" sqref="C2:C38">
      <x:formula1>1</x:formula1>
      <x:formula2>37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25835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.6299991607666" hidden="0" customWidth="1"/>
    <x:col min="2" max="2" width="14.380000114440918" hidden="0" customWidth="1"/>
    <x:col min="3" max="3" width="14.380000114440918" hidden="0" customWidth="1"/>
    <x:col min="4" max="4" width="31.25" hidden="0" customWidth="1"/>
    <x:col min="5" max="5" width="32.5" hidden="0" customWidth="1"/>
    <x:col min="6" max="6" width="8.130000114440918" customWidth="1" hidden="1"/>
    <x:col min="7" max="7" width="26.25" customWidth="1" hidden="1"/>
    <x:col min="8" max="8" width="3.130000114440918" hidden="0" customWidth="1"/>
    <x:col min="9" max="9" width="48.130001068115234" hidden="0" customWidth="1"/>
    <x:col min="10" max="10" width="6.880000114440918" hidden="0" customWidth="1"/>
  </x:cols>
  <x:sheetData>
    <x:row r="1" ht="30" customHeight="1">
      <x:c r="A1" s="12" t="str">
        <x:v>Territory</x:v>
      </x:c>
      <x:c r="B1" s="12" t="str">
        <x:v>Status</x:v>
      </x:c>
      <x:c r="C1" s="12" t="str">
        <x:v>Reveal Order</x:v>
      </x:c>
      <x:c r="D1" s="12" t="str">
        <x:v>Entry Warning</x:v>
      </x:c>
      <x:c r="E1" s="12" t="str">
        <x:v>Retry Guidance</x:v>
      </x:c>
      <x:c r="F1" s="19" t="str">
        <x:v>Team</x:v>
      </x:c>
      <x:c r="G1" s="19" t="str">
        <x:v>Territory ID</x:v>
      </x:c>
      <x:c r="H1" s="8"/>
      <x:c r="I1" s="13" t="str">
        <x:v>GREEN TEAM / CURRENT CHALLENGE</x:v>
      </x:c>
      <x:c r="J1" s="8"/>
    </x:row>
    <x:row r="2" ht="24" customHeight="1">
      <x:c r="A2" s="8" t="str">
        <x:v>Allston</x:v>
      </x:c>
      <x:c r="B2" s="21" t="str">
        <x:v>Not opened</x:v>
      </x:c>
      <x:c r="C2" s="23"/>
      <x:c r="D2" s="22" t="str">
        <x:f>IF(B2="Not opened",IF(C2&lt;&gt;"","Clear reveal number",""),IF(C2="","Enter reveal number",IF(COUNTIFS($C$2:$C$38,C2)&gt;1,"Duplicate reveal number",IF(AND(B2="Active",COUNTIFS($B$2:$B$38,"Active")&gt;1),"Resolve other active challenge",""))))</x:f>
      </x:c>
      <x:c r="E2" s="22" t="str">
        <x:f>IF(B2="Not opened","Not revealed",IF(C2="","Enter reveal number",IF(OR(B2="Failed",B2="Abandoned"),IF(MAX($C$2:$C$38)&gt;C2,"No retry: newer card opened","Check card retry rule"),IF(B2="Succeeded","Completed","Work on this card"))))</x:f>
        <x:v>Not revealed</x:v>
      </x:c>
      <x:c r="F2" s="20" t="str">
        <x:v>Green</x:v>
      </x:c>
      <x:c r="G2" s="20" t="str">
        <x:v>allston</x:v>
      </x:c>
      <x:c r="H2" s="8"/>
      <x:c r="I2" s="8" t="str">
        <x:f>IF(COUNTIFS($B$2:$B$38,"Active")&gt;1,"WARNING: multiple active challenges",IF(COUNTIFS($B$2:$B$38,"Active")=1,"One active challenge","No active challenge"))</x:f>
        <x:v>No active challenge</x:v>
      </x:c>
      <x:c r="J2" s="8"/>
    </x:row>
    <x:row r="3" ht="24" customHeight="1">
      <x:c r="A3" s="8" t="str">
        <x:v>Back Bay</x:v>
      </x:c>
      <x:c r="B3" s="21" t="str">
        <x:v>Not opened</x:v>
      </x:c>
      <x:c r="C3" s="23"/>
      <x:c r="D3" s="22" t="str">
        <x:f>IF(B3="Not opened",IF(C3&lt;&gt;"","Clear reveal number",""),IF(C3="","Enter reveal number",IF(COUNTIFS($C$2:$C$38,C3)&gt;1,"Duplicate reveal number",IF(AND(B3="Active",COUNTIFS($B$2:$B$38,"Active")&gt;1),"Resolve other active challenge",""))))</x:f>
      </x:c>
      <x:c r="E3" s="22" t="str">
        <x:f>IF(B3="Not opened","Not revealed",IF(C3="","Enter reveal number",IF(OR(B3="Failed",B3="Abandoned"),IF(MAX($C$2:$C$38)&gt;C3,"No retry: newer card opened","Check card retry rule"),IF(B3="Succeeded","Completed","Work on this card"))))</x:f>
        <x:v>Not revealed</x:v>
      </x:c>
      <x:c r="F3" s="20" t="str">
        <x:v>Green</x:v>
      </x:c>
      <x:c r="G3" s="20" t="str">
        <x:v>back-bay</x:v>
      </x:c>
      <x:c r="H3" s="8"/>
      <x:c r="I3" s="8"/>
      <x:c r="J3" s="8"/>
    </x:row>
    <x:row r="4" ht="24" customHeight="1">
      <x:c r="A4" s="8" t="str">
        <x:v>Bay Village</x:v>
      </x:c>
      <x:c r="B4" s="21" t="str">
        <x:v>Not opened</x:v>
      </x:c>
      <x:c r="C4" s="23"/>
      <x:c r="D4" s="22" t="str">
        <x:f>IF(B4="Not opened",IF(C4&lt;&gt;"","Clear reveal number",""),IF(C4="","Enter reveal number",IF(COUNTIFS($C$2:$C$38,C4)&gt;1,"Duplicate reveal number",IF(AND(B4="Active",COUNTIFS($B$2:$B$38,"Active")&gt;1),"Resolve other active challenge",""))))</x:f>
      </x:c>
      <x:c r="E4" s="22" t="str">
        <x:f>IF(B4="Not opened","Not revealed",IF(C4="","Enter reveal number",IF(OR(B4="Failed",B4="Abandoned"),IF(MAX($C$2:$C$38)&gt;C4,"No retry: newer card opened","Check card retry rule"),IF(B4="Succeeded","Completed","Work on this card"))))</x:f>
        <x:v>Not revealed</x:v>
      </x:c>
      <x:c r="F4" s="20" t="str">
        <x:v>Green</x:v>
      </x:c>
      <x:c r="G4" s="20" t="str">
        <x:v>bay-village</x:v>
      </x:c>
      <x:c r="H4" s="8"/>
      <x:c r="I4" s="8" t="str">
        <x:v>Next reveal number</x:v>
      </x:c>
      <x:c r="J4" s="18" t="n">
        <x:f>MAX($C$2:$C$38)+1</x:f>
        <x:v>1</x:v>
      </x:c>
    </x:row>
    <x:row r="5" ht="24" customHeight="1">
      <x:c r="A5" s="8" t="str">
        <x:v>Beacon Hill</x:v>
      </x:c>
      <x:c r="B5" s="21" t="str">
        <x:v>Not opened</x:v>
      </x:c>
      <x:c r="C5" s="23"/>
      <x:c r="D5" s="22" t="str">
        <x:f>IF(B5="Not opened",IF(C5&lt;&gt;"","Clear reveal number",""),IF(C5="","Enter reveal number",IF(COUNTIFS($C$2:$C$38,C5)&gt;1,"Duplicate reveal number",IF(AND(B5="Active",COUNTIFS($B$2:$B$38,"Active")&gt;1),"Resolve other active challenge",""))))</x:f>
      </x:c>
      <x:c r="E5" s="22" t="str">
        <x:f>IF(B5="Not opened","Not revealed",IF(C5="","Enter reveal number",IF(OR(B5="Failed",B5="Abandoned"),IF(MAX($C$2:$C$38)&gt;C5,"No retry: newer card opened","Check card retry rule"),IF(B5="Succeeded","Completed","Work on this card"))))</x:f>
        <x:v>Not revealed</x:v>
      </x:c>
      <x:c r="F5" s="20" t="str">
        <x:v>Green</x:v>
      </x:c>
      <x:c r="G5" s="20" t="str">
        <x:v>beacon-hill</x:v>
      </x:c>
      <x:c r="H5" s="8"/>
      <x:c r="I5" s="8"/>
      <x:c r="J5" s="8"/>
    </x:row>
    <x:row r="6" ht="24" customHeight="1">
      <x:c r="A6" s="8" t="str">
        <x:v>Brighton</x:v>
      </x:c>
      <x:c r="B6" s="21" t="str">
        <x:v>Not opened</x:v>
      </x:c>
      <x:c r="C6" s="23"/>
      <x:c r="D6" s="22" t="str">
        <x:f>IF(B6="Not opened",IF(C6&lt;&gt;"","Clear reveal number",""),IF(C6="","Enter reveal number",IF(COUNTIFS($C$2:$C$38,C6)&gt;1,"Duplicate reveal number",IF(AND(B6="Active",COUNTIFS($B$2:$B$38,"Active")&gt;1),"Resolve other active challenge",""))))</x:f>
      </x:c>
      <x:c r="E6" s="22" t="str">
        <x:f>IF(B6="Not opened","Not revealed",IF(C6="","Enter reveal number",IF(OR(B6="Failed",B6="Abandoned"),IF(MAX($C$2:$C$38)&gt;C6,"No retry: newer card opened","Check card retry rule"),IF(B6="Succeeded","Completed","Work on this card"))))</x:f>
        <x:v>Not revealed</x:v>
      </x:c>
      <x:c r="F6" s="20" t="str">
        <x:v>Green</x:v>
      </x:c>
      <x:c r="G6" s="20" t="str">
        <x:v>brighton</x:v>
      </x:c>
      <x:c r="H6" s="8"/>
      <x:c r="I6" s="8" t="str">
        <x:v>Edit only Reveal Order and Status.</x:v>
      </x:c>
      <x:c r="J6" s="8"/>
    </x:row>
    <x:row r="7" ht="24" customHeight="1">
      <x:c r="A7" s="8" t="str">
        <x:v>Charlestown</x:v>
      </x:c>
      <x:c r="B7" s="21" t="str">
        <x:v>Not opened</x:v>
      </x:c>
      <x:c r="C7" s="23"/>
      <x:c r="D7" s="22" t="str">
        <x:f>IF(B7="Not opened",IF(C7&lt;&gt;"","Clear reveal number",""),IF(C7="","Enter reveal number",IF(COUNTIFS($C$2:$C$38,C7)&gt;1,"Duplicate reveal number",IF(AND(B7="Active",COUNTIFS($B$2:$B$38,"Active")&gt;1),"Resolve other active challenge",""))))</x:f>
      </x:c>
      <x:c r="E7" s="22" t="str">
        <x:f>IF(B7="Not opened","Not revealed",IF(C7="","Enter reveal number",IF(OR(B7="Failed",B7="Abandoned"),IF(MAX($C$2:$C$38)&gt;C7,"No retry: newer card opened","Check card retry rule"),IF(B7="Succeeded","Completed","Work on this card"))))</x:f>
        <x:v>Not revealed</x:v>
      </x:c>
      <x:c r="F7" s="20" t="str">
        <x:v>Green</x:v>
      </x:c>
      <x:c r="G7" s="20" t="str">
        <x:v>charlestown</x:v>
      </x:c>
      <x:c r="H7" s="8"/>
      <x:c r="I7" s="8" t="str">
        <x:v>Keep the reveal number when retrying.</x:v>
      </x:c>
      <x:c r="J7" s="8"/>
    </x:row>
    <x:row r="8" ht="24" customHeight="1">
      <x:c r="A8" s="8" t="str">
        <x:v>Chinatown</x:v>
      </x:c>
      <x:c r="B8" s="21" t="str">
        <x:v>Not opened</x:v>
      </x:c>
      <x:c r="C8" s="23"/>
      <x:c r="D8" s="22" t="str">
        <x:f>IF(B8="Not opened",IF(C8&lt;&gt;"","Clear reveal number",""),IF(C8="","Enter reveal number",IF(COUNTIFS($C$2:$C$38,C8)&gt;1,"Duplicate reveal number",IF(AND(B8="Active",COUNTIFS($B$2:$B$38,"Active")&gt;1),"Resolve other active challenge",""))))</x:f>
      </x:c>
      <x:c r="E8" s="22" t="str">
        <x:f>IF(B8="Not opened","Not revealed",IF(C8="","Enter reveal number",IF(OR(B8="Failed",B8="Abandoned"),IF(MAX($C$2:$C$38)&gt;C8,"No retry: newer card opened","Check card retry rule"),IF(B8="Succeeded","Completed","Work on this card"))))</x:f>
        <x:v>Not revealed</x:v>
      </x:c>
      <x:c r="F8" s="20" t="str">
        <x:v>Green</x:v>
      </x:c>
      <x:c r="G8" s="20" t="str">
        <x:v>chinatown-leather-district</x:v>
      </x:c>
      <x:c r="H8" s="8"/>
      <x:c r="I8" s="8" t="str">
        <x:v>Resolve this card before opening another.</x:v>
      </x:c>
      <x:c r="J8" s="8"/>
    </x:row>
    <x:row r="9" ht="24" customHeight="1">
      <x:c r="A9" s="8" t="str">
        <x:v>Dorchester</x:v>
      </x:c>
      <x:c r="B9" s="21" t="str">
        <x:v>Not opened</x:v>
      </x:c>
      <x:c r="C9" s="23"/>
      <x:c r="D9" s="22" t="str">
        <x:f>IF(B9="Not opened",IF(C9&lt;&gt;"","Clear reveal number",""),IF(C9="","Enter reveal number",IF(COUNTIFS($C$2:$C$38,C9)&gt;1,"Duplicate reveal number",IF(AND(B9="Active",COUNTIFS($B$2:$B$38,"Active")&gt;1),"Resolve other active challenge",""))))</x:f>
      </x:c>
      <x:c r="E9" s="22" t="str">
        <x:f>IF(B9="Not opened","Not revealed",IF(C9="","Enter reveal number",IF(OR(B9="Failed",B9="Abandoned"),IF(MAX($C$2:$C$38)&gt;C9,"No retry: newer card opened","Check card retry rule"),IF(B9="Succeeded","Completed","Work on this card"))))</x:f>
        <x:v>Not revealed</x:v>
      </x:c>
      <x:c r="F9" s="20" t="str">
        <x:v>Green</x:v>
      </x:c>
      <x:c r="G9" s="20" t="str">
        <x:v>dorchester</x:v>
      </x:c>
      <x:c r="H9" s="8"/>
      <x:c r="I9" s="8" t="str">
        <x:v>An older card cannot be retried after a newer reveal.</x:v>
      </x:c>
      <x:c r="J9" s="8"/>
    </x:row>
    <x:row r="10" ht="24" customHeight="1">
      <x:c r="A10" s="8" t="str">
        <x:v>Downtown</x:v>
      </x:c>
      <x:c r="B10" s="21" t="str">
        <x:v>Not opened</x:v>
      </x:c>
      <x:c r="C10" s="23"/>
      <x:c r="D10" s="22" t="str">
        <x:f>IF(B10="Not opened",IF(C10&lt;&gt;"","Clear reveal number",""),IF(C10="","Enter reveal number",IF(COUNTIFS($C$2:$C$38,C10)&gt;1,"Duplicate reveal number",IF(AND(B10="Active",COUNTIFS($B$2:$B$38,"Active")&gt;1),"Resolve other active challenge",""))))</x:f>
      </x:c>
      <x:c r="E10" s="22" t="str">
        <x:f>IF(B10="Not opened","Not revealed",IF(C10="","Enter reveal number",IF(OR(B10="Failed",B10="Abandoned"),IF(MAX($C$2:$C$38)&gt;C10,"No retry: newer card opened","Check card retry rule"),IF(B10="Succeeded","Completed","Work on this card"))))</x:f>
        <x:v>Not revealed</x:v>
      </x:c>
      <x:c r="F10" s="20" t="str">
        <x:v>Green</x:v>
      </x:c>
      <x:c r="G10" s="20" t="str">
        <x:v>downtown</x:v>
      </x:c>
      <x:c r="H10" s="8"/>
      <x:c r="I10" s="8" t="str">
        <x:v>Whether a card allows retries is written on that card.</x:v>
      </x:c>
      <x:c r="J10" s="8"/>
    </x:row>
    <x:row r="11" ht="24" customHeight="1">
      <x:c r="A11" s="8" t="str">
        <x:v>East Boston</x:v>
      </x:c>
      <x:c r="B11" s="21" t="str">
        <x:v>Not opened</x:v>
      </x:c>
      <x:c r="C11" s="23"/>
      <x:c r="D11" s="22" t="str">
        <x:f>IF(B11="Not opened",IF(C11&lt;&gt;"","Clear reveal number",""),IF(C11="","Enter reveal number",IF(COUNTIFS($C$2:$C$38,C11)&gt;1,"Duplicate reveal number",IF(AND(B11="Active",COUNTIFS($B$2:$B$38,"Active")&gt;1),"Resolve other active challenge",""))))</x:f>
      </x:c>
      <x:c r="E11" s="22" t="str">
        <x:f>IF(B11="Not opened","Not revealed",IF(C11="","Enter reveal number",IF(OR(B11="Failed",B11="Abandoned"),IF(MAX($C$2:$C$38)&gt;C11,"No retry: newer card opened","Check card retry rule"),IF(B11="Succeeded","Completed","Work on this card"))))</x:f>
        <x:v>Not revealed</x:v>
      </x:c>
      <x:c r="F11" s="20" t="str">
        <x:v>Green</x:v>
      </x:c>
      <x:c r="G11" s="20" t="str">
        <x:v>east-boston</x:v>
      </x:c>
      <x:c r="H11" s="8"/>
      <x:c r="I11" s="8"/>
      <x:c r="J11" s="8"/>
    </x:row>
    <x:row r="12" ht="24" customHeight="1">
      <x:c r="A12" s="8" t="str">
        <x:v>Fenway–Kenmore</x:v>
      </x:c>
      <x:c r="B12" s="21" t="str">
        <x:v>Not opened</x:v>
      </x:c>
      <x:c r="C12" s="23"/>
      <x:c r="D12" s="22" t="str">
        <x:f>IF(B12="Not opened",IF(C12&lt;&gt;"","Clear reveal number",""),IF(C12="","Enter reveal number",IF(COUNTIFS($C$2:$C$38,C12)&gt;1,"Duplicate reveal number",IF(AND(B12="Active",COUNTIFS($B$2:$B$38,"Active")&gt;1),"Resolve other active challenge",""))))</x:f>
      </x:c>
      <x:c r="E12" s="22" t="str">
        <x:f>IF(B12="Not opened","Not revealed",IF(C12="","Enter reveal number",IF(OR(B12="Failed",B12="Abandoned"),IF(MAX($C$2:$C$38)&gt;C12,"No retry: newer card opened","Check card retry rule"),IF(B12="Succeeded","Completed","Work on this card"))))</x:f>
        <x:v>Not revealed</x:v>
      </x:c>
      <x:c r="F12" s="20" t="str">
        <x:v>Green</x:v>
      </x:c>
      <x:c r="G12" s="20" t="str">
        <x:v>fenway-kenmore</x:v>
      </x:c>
      <x:c r="H12" s="8"/>
      <x:c r="I12" s="8" t="str">
        <x:f>IF(Teams!C4="Yes","Active team","Inactive: do not use this tab")</x:f>
        <x:v>Active team</x:v>
      </x:c>
      <x:c r="J12" s="8"/>
    </x:row>
    <x:row r="13" ht="24" customHeight="1">
      <x:c r="A13" s="8" t="str">
        <x:v>Hyde Park</x:v>
      </x:c>
      <x:c r="B13" s="21" t="str">
        <x:v>Not opened</x:v>
      </x:c>
      <x:c r="C13" s="23"/>
      <x:c r="D13" s="22" t="str">
        <x:f>IF(B13="Not opened",IF(C13&lt;&gt;"","Clear reveal number",""),IF(C13="","Enter reveal number",IF(COUNTIFS($C$2:$C$38,C13)&gt;1,"Duplicate reveal number",IF(AND(B13="Active",COUNTIFS($B$2:$B$38,"Active")&gt;1),"Resolve other active challenge",""))))</x:f>
      </x:c>
      <x:c r="E13" s="22" t="str">
        <x:f>IF(B13="Not opened","Not revealed",IF(C13="","Enter reveal number",IF(OR(B13="Failed",B13="Abandoned"),IF(MAX($C$2:$C$38)&gt;C13,"No retry: newer card opened","Check card retry rule"),IF(B13="Succeeded","Completed","Work on this card"))))</x:f>
        <x:v>Not revealed</x:v>
      </x:c>
      <x:c r="F13" s="20" t="str">
        <x:v>Green</x:v>
      </x:c>
      <x:c r="G13" s="20" t="str">
        <x:v>hyde-park</x:v>
      </x:c>
      <x:c r="H13" s="8"/>
      <x:c r="I13" s="8"/>
      <x:c r="J13" s="8"/>
    </x:row>
    <x:row r="14" ht="24" customHeight="1">
      <x:c r="A14" s="8" t="str">
        <x:v>Jamaica Plain</x:v>
      </x:c>
      <x:c r="B14" s="21" t="str">
        <x:v>Not opened</x:v>
      </x:c>
      <x:c r="C14" s="23"/>
      <x:c r="D14" s="22" t="str">
        <x:f>IF(B14="Not opened",IF(C14&lt;&gt;"","Clear reveal number",""),IF(C14="","Enter reveal number",IF(COUNTIFS($C$2:$C$38,C14)&gt;1,"Duplicate reveal number",IF(AND(B14="Active",COUNTIFS($B$2:$B$38,"Active")&gt;1),"Resolve other active challenge",""))))</x:f>
      </x:c>
      <x:c r="E14" s="22" t="str">
        <x:f>IF(B14="Not opened","Not revealed",IF(C14="","Enter reveal number",IF(OR(B14="Failed",B14="Abandoned"),IF(MAX($C$2:$C$38)&gt;C14,"No retry: newer card opened","Check card retry rule"),IF(B14="Succeeded","Completed","Work on this card"))))</x:f>
        <x:v>Not revealed</x:v>
      </x:c>
      <x:c r="F14" s="20" t="str">
        <x:v>Green</x:v>
      </x:c>
      <x:c r="G14" s="20" t="str">
        <x:v>jamaica-plain</x:v>
      </x:c>
      <x:c r="H14" s="8"/>
      <x:c r="I14" s="8"/>
      <x:c r="J14" s="8"/>
    </x:row>
    <x:row r="15" ht="24" customHeight="1">
      <x:c r="A15" s="8" t="str">
        <x:v>Mattapan</x:v>
      </x:c>
      <x:c r="B15" s="21" t="str">
        <x:v>Not opened</x:v>
      </x:c>
      <x:c r="C15" s="23"/>
      <x:c r="D15" s="22" t="str">
        <x:f>IF(B15="Not opened",IF(C15&lt;&gt;"","Clear reveal number",""),IF(C15="","Enter reveal number",IF(COUNTIFS($C$2:$C$38,C15)&gt;1,"Duplicate reveal number",IF(AND(B15="Active",COUNTIFS($B$2:$B$38,"Active")&gt;1),"Resolve other active challenge",""))))</x:f>
      </x:c>
      <x:c r="E15" s="22" t="str">
        <x:f>IF(B15="Not opened","Not revealed",IF(C15="","Enter reveal number",IF(OR(B15="Failed",B15="Abandoned"),IF(MAX($C$2:$C$38)&gt;C15,"No retry: newer card opened","Check card retry rule"),IF(B15="Succeeded","Completed","Work on this card"))))</x:f>
        <x:v>Not revealed</x:v>
      </x:c>
      <x:c r="F15" s="20" t="str">
        <x:v>Green</x:v>
      </x:c>
      <x:c r="G15" s="20" t="str">
        <x:v>mattapan</x:v>
      </x:c>
      <x:c r="H15" s="8"/>
      <x:c r="I15" s="8"/>
      <x:c r="J15" s="8"/>
    </x:row>
    <x:row r="16" ht="24" customHeight="1">
      <x:c r="A16" s="8" t="str">
        <x:v>Mission Hill</x:v>
      </x:c>
      <x:c r="B16" s="21" t="str">
        <x:v>Not opened</x:v>
      </x:c>
      <x:c r="C16" s="23"/>
      <x:c r="D16" s="22" t="str">
        <x:f>IF(B16="Not opened",IF(C16&lt;&gt;"","Clear reveal number",""),IF(C16="","Enter reveal number",IF(COUNTIFS($C$2:$C$38,C16)&gt;1,"Duplicate reveal number",IF(AND(B16="Active",COUNTIFS($B$2:$B$38,"Active")&gt;1),"Resolve other active challenge",""))))</x:f>
      </x:c>
      <x:c r="E16" s="22" t="str">
        <x:f>IF(B16="Not opened","Not revealed",IF(C16="","Enter reveal number",IF(OR(B16="Failed",B16="Abandoned"),IF(MAX($C$2:$C$38)&gt;C16,"No retry: newer card opened","Check card retry rule"),IF(B16="Succeeded","Completed","Work on this card"))))</x:f>
        <x:v>Not revealed</x:v>
      </x:c>
      <x:c r="F16" s="20" t="str">
        <x:v>Green</x:v>
      </x:c>
      <x:c r="G16" s="20" t="str">
        <x:v>mission-hill</x:v>
      </x:c>
      <x:c r="H16" s="8"/>
      <x:c r="I16" s="8"/>
      <x:c r="J16" s="8"/>
    </x:row>
    <x:row r="17" ht="24" customHeight="1">
      <x:c r="A17" s="8" t="str">
        <x:v>North End</x:v>
      </x:c>
      <x:c r="B17" s="21" t="str">
        <x:v>Not opened</x:v>
      </x:c>
      <x:c r="C17" s="23"/>
      <x:c r="D17" s="22" t="str">
        <x:f>IF(B17="Not opened",IF(C17&lt;&gt;"","Clear reveal number",""),IF(C17="","Enter reveal number",IF(COUNTIFS($C$2:$C$38,C17)&gt;1,"Duplicate reveal number",IF(AND(B17="Active",COUNTIFS($B$2:$B$38,"Active")&gt;1),"Resolve other active challenge",""))))</x:f>
      </x:c>
      <x:c r="E17" s="22" t="str">
        <x:f>IF(B17="Not opened","Not revealed",IF(C17="","Enter reveal number",IF(OR(B17="Failed",B17="Abandoned"),IF(MAX($C$2:$C$38)&gt;C17,"No retry: newer card opened","Check card retry rule"),IF(B17="Succeeded","Completed","Work on this card"))))</x:f>
        <x:v>Not revealed</x:v>
      </x:c>
      <x:c r="F17" s="20" t="str">
        <x:v>Green</x:v>
      </x:c>
      <x:c r="G17" s="20" t="str">
        <x:v>north-end</x:v>
      </x:c>
      <x:c r="H17" s="8"/>
      <x:c r="I17" s="8"/>
      <x:c r="J17" s="8"/>
    </x:row>
    <x:row r="18" ht="24" customHeight="1">
      <x:c r="A18" s="8" t="str">
        <x:v>Roslindale</x:v>
      </x:c>
      <x:c r="B18" s="21" t="str">
        <x:v>Not opened</x:v>
      </x:c>
      <x:c r="C18" s="23"/>
      <x:c r="D18" s="22" t="str">
        <x:f>IF(B18="Not opened",IF(C18&lt;&gt;"","Clear reveal number",""),IF(C18="","Enter reveal number",IF(COUNTIFS($C$2:$C$38,C18)&gt;1,"Duplicate reveal number",IF(AND(B18="Active",COUNTIFS($B$2:$B$38,"Active")&gt;1),"Resolve other active challenge",""))))</x:f>
      </x:c>
      <x:c r="E18" s="22" t="str">
        <x:f>IF(B18="Not opened","Not revealed",IF(C18="","Enter reveal number",IF(OR(B18="Failed",B18="Abandoned"),IF(MAX($C$2:$C$38)&gt;C18,"No retry: newer card opened","Check card retry rule"),IF(B18="Succeeded","Completed","Work on this card"))))</x:f>
        <x:v>Not revealed</x:v>
      </x:c>
      <x:c r="F18" s="20" t="str">
        <x:v>Green</x:v>
      </x:c>
      <x:c r="G18" s="20" t="str">
        <x:v>roslindale</x:v>
      </x:c>
      <x:c r="H18" s="8"/>
      <x:c r="I18" s="8"/>
      <x:c r="J18" s="8"/>
    </x:row>
    <x:row r="19" ht="24" customHeight="1">
      <x:c r="A19" s="8" t="str">
        <x:v>Roxbury</x:v>
      </x:c>
      <x:c r="B19" s="21" t="str">
        <x:v>Not opened</x:v>
      </x:c>
      <x:c r="C19" s="23"/>
      <x:c r="D19" s="22" t="str">
        <x:f>IF(B19="Not opened",IF(C19&lt;&gt;"","Clear reveal number",""),IF(C19="","Enter reveal number",IF(COUNTIFS($C$2:$C$38,C19)&gt;1,"Duplicate reveal number",IF(AND(B19="Active",COUNTIFS($B$2:$B$38,"Active")&gt;1),"Resolve other active challenge",""))))</x:f>
      </x:c>
      <x:c r="E19" s="22" t="str">
        <x:f>IF(B19="Not opened","Not revealed",IF(C19="","Enter reveal number",IF(OR(B19="Failed",B19="Abandoned"),IF(MAX($C$2:$C$38)&gt;C19,"No retry: newer card opened","Check card retry rule"),IF(B19="Succeeded","Completed","Work on this card"))))</x:f>
        <x:v>Not revealed</x:v>
      </x:c>
      <x:c r="F19" s="20" t="str">
        <x:v>Green</x:v>
      </x:c>
      <x:c r="G19" s="20" t="str">
        <x:v>roxbury</x:v>
      </x:c>
      <x:c r="H19" s="8"/>
      <x:c r="I19" s="8"/>
      <x:c r="J19" s="8"/>
    </x:row>
    <x:row r="20" ht="24" customHeight="1">
      <x:c r="A20" s="8" t="str">
        <x:v>South Boston</x:v>
      </x:c>
      <x:c r="B20" s="21" t="str">
        <x:v>Not opened</x:v>
      </x:c>
      <x:c r="C20" s="23"/>
      <x:c r="D20" s="22" t="str">
        <x:f>IF(B20="Not opened",IF(C20&lt;&gt;"","Clear reveal number",""),IF(C20="","Enter reveal number",IF(COUNTIFS($C$2:$C$38,C20)&gt;1,"Duplicate reveal number",IF(AND(B20="Active",COUNTIFS($B$2:$B$38,"Active")&gt;1),"Resolve other active challenge",""))))</x:f>
      </x:c>
      <x:c r="E20" s="22" t="str">
        <x:f>IF(B20="Not opened","Not revealed",IF(C20="","Enter reveal number",IF(OR(B20="Failed",B20="Abandoned"),IF(MAX($C$2:$C$38)&gt;C20,"No retry: newer card opened","Check card retry rule"),IF(B20="Succeeded","Completed","Work on this card"))))</x:f>
        <x:v>Not revealed</x:v>
      </x:c>
      <x:c r="F20" s="20" t="str">
        <x:v>Green</x:v>
      </x:c>
      <x:c r="G20" s="20" t="str">
        <x:v>south-boston</x:v>
      </x:c>
      <x:c r="H20" s="8"/>
      <x:c r="I20" s="8"/>
      <x:c r="J20" s="8"/>
    </x:row>
    <x:row r="21" ht="24" customHeight="1">
      <x:c r="A21" s="8" t="str">
        <x:v>South End</x:v>
      </x:c>
      <x:c r="B21" s="21" t="str">
        <x:v>Not opened</x:v>
      </x:c>
      <x:c r="C21" s="23"/>
      <x:c r="D21" s="22" t="str">
        <x:f>IF(B21="Not opened",IF(C21&lt;&gt;"","Clear reveal number",""),IF(C21="","Enter reveal number",IF(COUNTIFS($C$2:$C$38,C21)&gt;1,"Duplicate reveal number",IF(AND(B21="Active",COUNTIFS($B$2:$B$38,"Active")&gt;1),"Resolve other active challenge",""))))</x:f>
      </x:c>
      <x:c r="E21" s="22" t="str">
        <x:f>IF(B21="Not opened","Not revealed",IF(C21="","Enter reveal number",IF(OR(B21="Failed",B21="Abandoned"),IF(MAX($C$2:$C$38)&gt;C21,"No retry: newer card opened","Check card retry rule"),IF(B21="Succeeded","Completed","Work on this card"))))</x:f>
        <x:v>Not revealed</x:v>
      </x:c>
      <x:c r="F21" s="20" t="str">
        <x:v>Green</x:v>
      </x:c>
      <x:c r="G21" s="20" t="str">
        <x:v>south-end</x:v>
      </x:c>
      <x:c r="H21" s="8"/>
      <x:c r="I21" s="8"/>
      <x:c r="J21" s="8"/>
    </x:row>
    <x:row r="22" ht="24" customHeight="1">
      <x:c r="A22" s="8" t="str">
        <x:v>West End</x:v>
      </x:c>
      <x:c r="B22" s="21" t="str">
        <x:v>Not opened</x:v>
      </x:c>
      <x:c r="C22" s="23"/>
      <x:c r="D22" s="22" t="str">
        <x:f>IF(B22="Not opened",IF(C22&lt;&gt;"","Clear reveal number",""),IF(C22="","Enter reveal number",IF(COUNTIFS($C$2:$C$38,C22)&gt;1,"Duplicate reveal number",IF(AND(B22="Active",COUNTIFS($B$2:$B$38,"Active")&gt;1),"Resolve other active challenge",""))))</x:f>
      </x:c>
      <x:c r="E22" s="22" t="str">
        <x:f>IF(B22="Not opened","Not revealed",IF(C22="","Enter reveal number",IF(OR(B22="Failed",B22="Abandoned"),IF(MAX($C$2:$C$38)&gt;C22,"No retry: newer card opened","Check card retry rule"),IF(B22="Succeeded","Completed","Work on this card"))))</x:f>
        <x:v>Not revealed</x:v>
      </x:c>
      <x:c r="F22" s="20" t="str">
        <x:v>Green</x:v>
      </x:c>
      <x:c r="G22" s="20" t="str">
        <x:v>west-end</x:v>
      </x:c>
      <x:c r="H22" s="8"/>
      <x:c r="I22" s="8"/>
      <x:c r="J22" s="8"/>
    </x:row>
    <x:row r="23" ht="24" customHeight="1">
      <x:c r="A23" s="8" t="str">
        <x:v>West Roxbury</x:v>
      </x:c>
      <x:c r="B23" s="21" t="str">
        <x:v>Not opened</x:v>
      </x:c>
      <x:c r="C23" s="23"/>
      <x:c r="D23" s="22" t="str">
        <x:f>IF(B23="Not opened",IF(C23&lt;&gt;"","Clear reveal number",""),IF(C23="","Enter reveal number",IF(COUNTIFS($C$2:$C$38,C23)&gt;1,"Duplicate reveal number",IF(AND(B23="Active",COUNTIFS($B$2:$B$38,"Active")&gt;1),"Resolve other active challenge",""))))</x:f>
      </x:c>
      <x:c r="E23" s="22" t="str">
        <x:f>IF(B23="Not opened","Not revealed",IF(C23="","Enter reveal number",IF(OR(B23="Failed",B23="Abandoned"),IF(MAX($C$2:$C$38)&gt;C23,"No retry: newer card opened","Check card retry rule"),IF(B23="Succeeded","Completed","Work on this card"))))</x:f>
        <x:v>Not revealed</x:v>
      </x:c>
      <x:c r="F23" s="20" t="str">
        <x:v>Green</x:v>
      </x:c>
      <x:c r="G23" s="20" t="str">
        <x:v>west-roxbury</x:v>
      </x:c>
      <x:c r="H23" s="8"/>
      <x:c r="I23" s="8"/>
      <x:c r="J23" s="8"/>
    </x:row>
    <x:row r="24" ht="24" customHeight="1">
      <x:c r="A24" s="8" t="str">
        <x:v>Seaport</x:v>
      </x:c>
      <x:c r="B24" s="21" t="str">
        <x:v>Not opened</x:v>
      </x:c>
      <x:c r="C24" s="23"/>
      <x:c r="D24" s="22" t="str">
        <x:f>IF(B24="Not opened",IF(C24&lt;&gt;"","Clear reveal number",""),IF(C24="","Enter reveal number",IF(COUNTIFS($C$2:$C$38,C24)&gt;1,"Duplicate reveal number",IF(AND(B24="Active",COUNTIFS($B$2:$B$38,"Active")&gt;1),"Resolve other active challenge",""))))</x:f>
      </x:c>
      <x:c r="E24" s="22" t="str">
        <x:f>IF(B24="Not opened","Not revealed",IF(C24="","Enter reveal number",IF(OR(B24="Failed",B24="Abandoned"),IF(MAX($C$2:$C$38)&gt;C24,"No retry: newer card opened","Check card retry rule"),IF(B24="Succeeded","Completed","Work on this card"))))</x:f>
        <x:v>Not revealed</x:v>
      </x:c>
      <x:c r="F24" s="20" t="str">
        <x:v>Green</x:v>
      </x:c>
      <x:c r="G24" s="20" t="str">
        <x:v>seaport</x:v>
      </x:c>
      <x:c r="H24" s="8"/>
      <x:c r="I24" s="8"/>
      <x:c r="J24" s="8"/>
    </x:row>
    <x:row r="25" ht="24" customHeight="1">
      <x:c r="A25" s="8" t="str">
        <x:v>Cambridge</x:v>
      </x:c>
      <x:c r="B25" s="21" t="str">
        <x:v>Not opened</x:v>
      </x:c>
      <x:c r="C25" s="23"/>
      <x:c r="D25" s="22" t="str">
        <x:f>IF(B25="Not opened",IF(C25&lt;&gt;"","Clear reveal number",""),IF(C25="","Enter reveal number",IF(COUNTIFS($C$2:$C$38,C25)&gt;1,"Duplicate reveal number",IF(AND(B25="Active",COUNTIFS($B$2:$B$38,"Active")&gt;1),"Resolve other active challenge",""))))</x:f>
      </x:c>
      <x:c r="E25" s="22" t="str">
        <x:f>IF(B25="Not opened","Not revealed",IF(C25="","Enter reveal number",IF(OR(B25="Failed",B25="Abandoned"),IF(MAX($C$2:$C$38)&gt;C25,"No retry: newer card opened","Check card retry rule"),IF(B25="Succeeded","Completed","Work on this card"))))</x:f>
        <x:v>Not revealed</x:v>
      </x:c>
      <x:c r="F25" s="20" t="str">
        <x:v>Green</x:v>
      </x:c>
      <x:c r="G25" s="20" t="str">
        <x:v>cambridge</x:v>
      </x:c>
      <x:c r="H25" s="8"/>
      <x:c r="I25" s="8"/>
      <x:c r="J25" s="8"/>
    </x:row>
    <x:row r="26" ht="24" customHeight="1">
      <x:c r="A26" s="8" t="str">
        <x:v>Somerville</x:v>
      </x:c>
      <x:c r="B26" s="21" t="str">
        <x:v>Not opened</x:v>
      </x:c>
      <x:c r="C26" s="23"/>
      <x:c r="D26" s="22" t="str">
        <x:f>IF(B26="Not opened",IF(C26&lt;&gt;"","Clear reveal number",""),IF(C26="","Enter reveal number",IF(COUNTIFS($C$2:$C$38,C26)&gt;1,"Duplicate reveal number",IF(AND(B26="Active",COUNTIFS($B$2:$B$38,"Active")&gt;1),"Resolve other active challenge",""))))</x:f>
      </x:c>
      <x:c r="E26" s="22" t="str">
        <x:f>IF(B26="Not opened","Not revealed",IF(C26="","Enter reveal number",IF(OR(B26="Failed",B26="Abandoned"),IF(MAX($C$2:$C$38)&gt;C26,"No retry: newer card opened","Check card retry rule"),IF(B26="Succeeded","Completed","Work on this card"))))</x:f>
        <x:v>Not revealed</x:v>
      </x:c>
      <x:c r="F26" s="20" t="str">
        <x:v>Green</x:v>
      </x:c>
      <x:c r="G26" s="20" t="str">
        <x:v>somerville</x:v>
      </x:c>
      <x:c r="H26" s="8"/>
      <x:c r="I26" s="8"/>
      <x:c r="J26" s="8"/>
    </x:row>
    <x:row r="27" ht="24" customHeight="1">
      <x:c r="A27" s="8" t="str">
        <x:v>Everett</x:v>
      </x:c>
      <x:c r="B27" s="21" t="str">
        <x:v>Not opened</x:v>
      </x:c>
      <x:c r="C27" s="23"/>
      <x:c r="D27" s="22" t="str">
        <x:f>IF(B27="Not opened",IF(C27&lt;&gt;"","Clear reveal number",""),IF(C27="","Enter reveal number",IF(COUNTIFS($C$2:$C$38,C27)&gt;1,"Duplicate reveal number",IF(AND(B27="Active",COUNTIFS($B$2:$B$38,"Active")&gt;1),"Resolve other active challenge",""))))</x:f>
      </x:c>
      <x:c r="E27" s="22" t="str">
        <x:f>IF(B27="Not opened","Not revealed",IF(C27="","Enter reveal number",IF(OR(B27="Failed",B27="Abandoned"),IF(MAX($C$2:$C$38)&gt;C27,"No retry: newer card opened","Check card retry rule"),IF(B27="Succeeded","Completed","Work on this card"))))</x:f>
        <x:v>Not revealed</x:v>
      </x:c>
      <x:c r="F27" s="20" t="str">
        <x:v>Green</x:v>
      </x:c>
      <x:c r="G27" s="20" t="str">
        <x:v>everett</x:v>
      </x:c>
      <x:c r="H27" s="8"/>
      <x:c r="I27" s="8"/>
      <x:c r="J27" s="8"/>
    </x:row>
    <x:row r="28" ht="24" customHeight="1">
      <x:c r="A28" s="8" t="str">
        <x:v>Chelsea</x:v>
      </x:c>
      <x:c r="B28" s="21" t="str">
        <x:v>Not opened</x:v>
      </x:c>
      <x:c r="C28" s="23"/>
      <x:c r="D28" s="22" t="str">
        <x:f>IF(B28="Not opened",IF(C28&lt;&gt;"","Clear reveal number",""),IF(C28="","Enter reveal number",IF(COUNTIFS($C$2:$C$38,C28)&gt;1,"Duplicate reveal number",IF(AND(B28="Active",COUNTIFS($B$2:$B$38,"Active")&gt;1),"Resolve other active challenge",""))))</x:f>
      </x:c>
      <x:c r="E28" s="22" t="str">
        <x:f>IF(B28="Not opened","Not revealed",IF(C28="","Enter reveal number",IF(OR(B28="Failed",B28="Abandoned"),IF(MAX($C$2:$C$38)&gt;C28,"No retry: newer card opened","Check card retry rule"),IF(B28="Succeeded","Completed","Work on this card"))))</x:f>
        <x:v>Not revealed</x:v>
      </x:c>
      <x:c r="F28" s="20" t="str">
        <x:v>Green</x:v>
      </x:c>
      <x:c r="G28" s="20" t="str">
        <x:v>chelsea</x:v>
      </x:c>
      <x:c r="H28" s="8"/>
      <x:c r="I28" s="8"/>
      <x:c r="J28" s="8"/>
    </x:row>
    <x:row r="29" ht="24" customHeight="1">
      <x:c r="A29" s="8" t="str">
        <x:v>Revere</x:v>
      </x:c>
      <x:c r="B29" s="21" t="str">
        <x:v>Not opened</x:v>
      </x:c>
      <x:c r="C29" s="23"/>
      <x:c r="D29" s="22" t="str">
        <x:f>IF(B29="Not opened",IF(C29&lt;&gt;"","Clear reveal number",""),IF(C29="","Enter reveal number",IF(COUNTIFS($C$2:$C$38,C29)&gt;1,"Duplicate reveal number",IF(AND(B29="Active",COUNTIFS($B$2:$B$38,"Active")&gt;1),"Resolve other active challenge",""))))</x:f>
      </x:c>
      <x:c r="E29" s="22" t="str">
        <x:f>IF(B29="Not opened","Not revealed",IF(C29="","Enter reveal number",IF(OR(B29="Failed",B29="Abandoned"),IF(MAX($C$2:$C$38)&gt;C29,"No retry: newer card opened","Check card retry rule"),IF(B29="Succeeded","Completed","Work on this card"))))</x:f>
        <x:v>Not revealed</x:v>
      </x:c>
      <x:c r="F29" s="20" t="str">
        <x:v>Green</x:v>
      </x:c>
      <x:c r="G29" s="20" t="str">
        <x:v>revere</x:v>
      </x:c>
      <x:c r="H29" s="8"/>
      <x:c r="I29" s="8"/>
      <x:c r="J29" s="8"/>
    </x:row>
    <x:row r="30" ht="24" customHeight="1">
      <x:c r="A30" s="8" t="str">
        <x:v>Malden</x:v>
      </x:c>
      <x:c r="B30" s="21" t="str">
        <x:v>Not opened</x:v>
      </x:c>
      <x:c r="C30" s="23"/>
      <x:c r="D30" s="22" t="str">
        <x:f>IF(B30="Not opened",IF(C30&lt;&gt;"","Clear reveal number",""),IF(C30="","Enter reveal number",IF(COUNTIFS($C$2:$C$38,C30)&gt;1,"Duplicate reveal number",IF(AND(B30="Active",COUNTIFS($B$2:$B$38,"Active")&gt;1),"Resolve other active challenge",""))))</x:f>
      </x:c>
      <x:c r="E30" s="22" t="str">
        <x:f>IF(B30="Not opened","Not revealed",IF(C30="","Enter reveal number",IF(OR(B30="Failed",B30="Abandoned"),IF(MAX($C$2:$C$38)&gt;C30,"No retry: newer card opened","Check card retry rule"),IF(B30="Succeeded","Completed","Work on this card"))))</x:f>
        <x:v>Not revealed</x:v>
      </x:c>
      <x:c r="F30" s="20" t="str">
        <x:v>Green</x:v>
      </x:c>
      <x:c r="G30" s="20" t="str">
        <x:v>malden</x:v>
      </x:c>
      <x:c r="H30" s="8"/>
      <x:c r="I30" s="8"/>
      <x:c r="J30" s="8"/>
    </x:row>
    <x:row r="31" ht="24" customHeight="1">
      <x:c r="A31" s="8" t="str">
        <x:v>Medford</x:v>
      </x:c>
      <x:c r="B31" s="21" t="str">
        <x:v>Not opened</x:v>
      </x:c>
      <x:c r="C31" s="23"/>
      <x:c r="D31" s="22" t="str">
        <x:f>IF(B31="Not opened",IF(C31&lt;&gt;"","Clear reveal number",""),IF(C31="","Enter reveal number",IF(COUNTIFS($C$2:$C$38,C31)&gt;1,"Duplicate reveal number",IF(AND(B31="Active",COUNTIFS($B$2:$B$38,"Active")&gt;1),"Resolve other active challenge",""))))</x:f>
      </x:c>
      <x:c r="E31" s="22" t="str">
        <x:f>IF(B31="Not opened","Not revealed",IF(C31="","Enter reveal number",IF(OR(B31="Failed",B31="Abandoned"),IF(MAX($C$2:$C$38)&gt;C31,"No retry: newer card opened","Check card retry rule"),IF(B31="Succeeded","Completed","Work on this card"))))</x:f>
        <x:v>Not revealed</x:v>
      </x:c>
      <x:c r="F31" s="20" t="str">
        <x:v>Green</x:v>
      </x:c>
      <x:c r="G31" s="20" t="str">
        <x:v>medford</x:v>
      </x:c>
      <x:c r="H31" s="8"/>
      <x:c r="I31" s="8"/>
      <x:c r="J31" s="8"/>
    </x:row>
    <x:row r="32" ht="24" customHeight="1">
      <x:c r="A32" s="8" t="str">
        <x:v>Brookline</x:v>
      </x:c>
      <x:c r="B32" s="21" t="str">
        <x:v>Not opened</x:v>
      </x:c>
      <x:c r="C32" s="23"/>
      <x:c r="D32" s="22" t="str">
        <x:f>IF(B32="Not opened",IF(C32&lt;&gt;"","Clear reveal number",""),IF(C32="","Enter reveal number",IF(COUNTIFS($C$2:$C$38,C32)&gt;1,"Duplicate reveal number",IF(AND(B32="Active",COUNTIFS($B$2:$B$38,"Active")&gt;1),"Resolve other active challenge",""))))</x:f>
      </x:c>
      <x:c r="E32" s="22" t="str">
        <x:f>IF(B32="Not opened","Not revealed",IF(C32="","Enter reveal number",IF(OR(B32="Failed",B32="Abandoned"),IF(MAX($C$2:$C$38)&gt;C32,"No retry: newer card opened","Check card retry rule"),IF(B32="Succeeded","Completed","Work on this card"))))</x:f>
        <x:v>Not revealed</x:v>
      </x:c>
      <x:c r="F32" s="20" t="str">
        <x:v>Green</x:v>
      </x:c>
      <x:c r="G32" s="20" t="str">
        <x:v>brookline</x:v>
      </x:c>
      <x:c r="H32" s="8"/>
      <x:c r="I32" s="8"/>
      <x:c r="J32" s="8"/>
    </x:row>
    <x:row r="33" ht="24" customHeight="1">
      <x:c r="A33" s="8" t="str">
        <x:v>Newton</x:v>
      </x:c>
      <x:c r="B33" s="21" t="str">
        <x:v>Not opened</x:v>
      </x:c>
      <x:c r="C33" s="23"/>
      <x:c r="D33" s="22" t="str">
        <x:f>IF(B33="Not opened",IF(C33&lt;&gt;"","Clear reveal number",""),IF(C33="","Enter reveal number",IF(COUNTIFS($C$2:$C$38,C33)&gt;1,"Duplicate reveal number",IF(AND(B33="Active",COUNTIFS($B$2:$B$38,"Active")&gt;1),"Resolve other active challenge",""))))</x:f>
      </x:c>
      <x:c r="E33" s="22" t="str">
        <x:f>IF(B33="Not opened","Not revealed",IF(C33="","Enter reveal number",IF(OR(B33="Failed",B33="Abandoned"),IF(MAX($C$2:$C$38)&gt;C33,"No retry: newer card opened","Check card retry rule"),IF(B33="Succeeded","Completed","Work on this card"))))</x:f>
        <x:v>Not revealed</x:v>
      </x:c>
      <x:c r="F33" s="20" t="str">
        <x:v>Green</x:v>
      </x:c>
      <x:c r="G33" s="20" t="str">
        <x:v>newton</x:v>
      </x:c>
      <x:c r="H33" s="8"/>
      <x:c r="I33" s="8"/>
      <x:c r="J33" s="8"/>
    </x:row>
    <x:row r="34" ht="24" customHeight="1">
      <x:c r="A34" s="8" t="str">
        <x:v>Quincy</x:v>
      </x:c>
      <x:c r="B34" s="21" t="str">
        <x:v>Not opened</x:v>
      </x:c>
      <x:c r="C34" s="23"/>
      <x:c r="D34" s="22" t="str">
        <x:f>IF(B34="Not opened",IF(C34&lt;&gt;"","Clear reveal number",""),IF(C34="","Enter reveal number",IF(COUNTIFS($C$2:$C$38,C34)&gt;1,"Duplicate reveal number",IF(AND(B34="Active",COUNTIFS($B$2:$B$38,"Active")&gt;1),"Resolve other active challenge",""))))</x:f>
      </x:c>
      <x:c r="E34" s="22" t="str">
        <x:f>IF(B34="Not opened","Not revealed",IF(C34="","Enter reveal number",IF(OR(B34="Failed",B34="Abandoned"),IF(MAX($C$2:$C$38)&gt;C34,"No retry: newer card opened","Check card retry rule"),IF(B34="Succeeded","Completed","Work on this card"))))</x:f>
        <x:v>Not revealed</x:v>
      </x:c>
      <x:c r="F34" s="20" t="str">
        <x:v>Green</x:v>
      </x:c>
      <x:c r="G34" s="20" t="str">
        <x:v>quincy</x:v>
      </x:c>
      <x:c r="H34" s="8"/>
      <x:c r="I34" s="8"/>
      <x:c r="J34" s="8"/>
    </x:row>
    <x:row r="35" ht="24" customHeight="1">
      <x:c r="A35" s="8" t="str">
        <x:v>Braintree</x:v>
      </x:c>
      <x:c r="B35" s="21" t="str">
        <x:v>Not opened</x:v>
      </x:c>
      <x:c r="C35" s="23"/>
      <x:c r="D35" s="22" t="str">
        <x:f>IF(B35="Not opened",IF(C35&lt;&gt;"","Clear reveal number",""),IF(C35="","Enter reveal number",IF(COUNTIFS($C$2:$C$38,C35)&gt;1,"Duplicate reveal number",IF(AND(B35="Active",COUNTIFS($B$2:$B$38,"Active")&gt;1),"Resolve other active challenge",""))))</x:f>
      </x:c>
      <x:c r="E35" s="22" t="str">
        <x:f>IF(B35="Not opened","Not revealed",IF(C35="","Enter reveal number",IF(OR(B35="Failed",B35="Abandoned"),IF(MAX($C$2:$C$38)&gt;C35,"No retry: newer card opened","Check card retry rule"),IF(B35="Succeeded","Completed","Work on this card"))))</x:f>
        <x:v>Not revealed</x:v>
      </x:c>
      <x:c r="F35" s="20" t="str">
        <x:v>Green</x:v>
      </x:c>
      <x:c r="G35" s="20" t="str">
        <x:v>braintree</x:v>
      </x:c>
      <x:c r="H35" s="8"/>
      <x:c r="I35" s="8"/>
      <x:c r="J35" s="8"/>
    </x:row>
    <x:row r="36" ht="24" customHeight="1">
      <x:c r="A36" s="8" t="str">
        <x:v>Winthrop</x:v>
      </x:c>
      <x:c r="B36" s="21" t="str">
        <x:v>Not opened</x:v>
      </x:c>
      <x:c r="C36" s="23"/>
      <x:c r="D36" s="22" t="str">
        <x:f>IF(B36="Not opened",IF(C36&lt;&gt;"","Clear reveal number",""),IF(C36="","Enter reveal number",IF(COUNTIFS($C$2:$C$38,C36)&gt;1,"Duplicate reveal number",IF(AND(B36="Active",COUNTIFS($B$2:$B$38,"Active")&gt;1),"Resolve other active challenge",""))))</x:f>
      </x:c>
      <x:c r="E36" s="22" t="str">
        <x:f>IF(B36="Not opened","Not revealed",IF(C36="","Enter reveal number",IF(OR(B36="Failed",B36="Abandoned"),IF(MAX($C$2:$C$38)&gt;C36,"No retry: newer card opened","Check card retry rule"),IF(B36="Succeeded","Completed","Work on this card"))))</x:f>
        <x:v>Not revealed</x:v>
      </x:c>
      <x:c r="F36" s="20" t="str">
        <x:v>Green</x:v>
      </x:c>
      <x:c r="G36" s="20" t="str">
        <x:v>winthrop</x:v>
      </x:c>
      <x:c r="H36" s="8"/>
      <x:c r="I36" s="8"/>
      <x:c r="J36" s="8"/>
    </x:row>
    <x:row r="37" ht="24" customHeight="1">
      <x:c r="A37" s="8" t="str">
        <x:v>Milton</x:v>
      </x:c>
      <x:c r="B37" s="21" t="str">
        <x:v>Not opened</x:v>
      </x:c>
      <x:c r="C37" s="23"/>
      <x:c r="D37" s="22" t="str">
        <x:f>IF(B37="Not opened",IF(C37&lt;&gt;"","Clear reveal number",""),IF(C37="","Enter reveal number",IF(COUNTIFS($C$2:$C$38,C37)&gt;1,"Duplicate reveal number",IF(AND(B37="Active",COUNTIFS($B$2:$B$38,"Active")&gt;1),"Resolve other active challenge",""))))</x:f>
      </x:c>
      <x:c r="E37" s="22" t="str">
        <x:f>IF(B37="Not opened","Not revealed",IF(C37="","Enter reveal number",IF(OR(B37="Failed",B37="Abandoned"),IF(MAX($C$2:$C$38)&gt;C37,"No retry: newer card opened","Check card retry rule"),IF(B37="Succeeded","Completed","Work on this card"))))</x:f>
        <x:v>Not revealed</x:v>
      </x:c>
      <x:c r="F37" s="20" t="str">
        <x:v>Green</x:v>
      </x:c>
      <x:c r="G37" s="20" t="str">
        <x:v>milton</x:v>
      </x:c>
      <x:c r="H37" s="8"/>
      <x:c r="I37" s="8"/>
      <x:c r="J37" s="8"/>
    </x:row>
    <x:row r="38" ht="24" customHeight="1">
      <x:c r="A38" s="8" t="str">
        <x:v>Longwood</x:v>
      </x:c>
      <x:c r="B38" s="21" t="str">
        <x:v>Not opened</x:v>
      </x:c>
      <x:c r="C38" s="23"/>
      <x:c r="D38" s="22" t="str">
        <x:f>IF(B38="Not opened",IF(C38&lt;&gt;"","Clear reveal number",""),IF(C38="","Enter reveal number",IF(COUNTIFS($C$2:$C$38,C38)&gt;1,"Duplicate reveal number",IF(AND(B38="Active",COUNTIFS($B$2:$B$38,"Active")&gt;1),"Resolve other active challenge",""))))</x:f>
      </x:c>
      <x:c r="E38" s="22" t="str">
        <x:f>IF(B38="Not opened","Not revealed",IF(C38="","Enter reveal number",IF(OR(B38="Failed",B38="Abandoned"),IF(MAX($C$2:$C$38)&gt;C38,"No retry: newer card opened","Check card retry rule"),IF(B38="Succeeded","Completed","Work on this card"))))</x:f>
        <x:v>Not revealed</x:v>
      </x:c>
      <x:c r="F38" s="20" t="str">
        <x:v>Green</x:v>
      </x:c>
      <x:c r="G38" s="20" t="str">
        <x:v>longwood</x:v>
      </x:c>
      <x:c r="H38" s="8"/>
      <x:c r="I38" s="8"/>
      <x:c r="J38" s="8"/>
    </x:row>
  </x:sheetData>
  <x:conditionalFormatting sqref="D2:D38">
    <x:cfRule type="expression" dxfId="18" priority="1">
      <x:formula>LEN(D2)&gt;0</x:formula>
    </x:cfRule>
  </x:conditionalFormatting>
  <x:conditionalFormatting sqref="B2:B38">
    <x:cfRule type="cellIs" dxfId="19" priority="2" operator="equal">
      <x:formula>"Active"</x:formula>
    </x:cfRule>
    <x:cfRule type="cellIs" dxfId="20" priority="3" operator="equal">
      <x:formula>"Failed"</x:formula>
    </x:cfRule>
    <x:cfRule type="cellIs" dxfId="21" priority="4" operator="equal">
      <x:formula>"Succeeded"</x:formula>
    </x:cfRule>
  </x:conditionalFormatting>
  <x:conditionalFormatting sqref="E2:E38">
    <x:cfRule type="containsText" dxfId="22" priority="5" operator="containsText" text="No retry"/>
  </x:conditionalFormatting>
  <x:conditionalFormatting sqref="I2:I2">
    <x:cfRule type="containsText" dxfId="23" priority="6" operator="containsText" text="WARNING"/>
  </x:conditionalFormatting>
  <x:dataValidations count="2">
    <x:dataValidation type="list" sqref="B2:B38">
      <x:formula1>"Not opened,Active,Succeeded,Failed,Abandoned"</x:formula1>
    </x:dataValidation>
    <x:dataValidation type="whole" operator="between" sqref="C2:C38">
      <x:formula1>1</x:formula1>
      <x:formula2>37</x:formula2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8055C9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.6299991607666" hidden="0" customWidth="1"/>
    <x:col min="2" max="2" width="14.380000114440918" hidden="0" customWidth="1"/>
    <x:col min="3" max="3" width="14.380000114440918" hidden="0" customWidth="1"/>
    <x:col min="4" max="4" width="31.25" hidden="0" customWidth="1"/>
    <x:col min="5" max="5" width="32.5" hidden="0" customWidth="1"/>
    <x:col min="6" max="6" width="8.130000114440918" customWidth="1" hidden="1"/>
    <x:col min="7" max="7" width="26.25" customWidth="1" hidden="1"/>
    <x:col min="8" max="8" width="3.130000114440918" hidden="0" customWidth="1"/>
    <x:col min="9" max="9" width="48.130001068115234" hidden="0" customWidth="1"/>
    <x:col min="10" max="10" width="6.880000114440918" hidden="0" customWidth="1"/>
  </x:cols>
  <x:sheetData>
    <x:row r="1" ht="30" customHeight="1">
      <x:c r="A1" s="12" t="str">
        <x:v>Territory</x:v>
      </x:c>
      <x:c r="B1" s="12" t="str">
        <x:v>Status</x:v>
      </x:c>
      <x:c r="C1" s="12" t="str">
        <x:v>Reveal Order</x:v>
      </x:c>
      <x:c r="D1" s="12" t="str">
        <x:v>Entry Warning</x:v>
      </x:c>
      <x:c r="E1" s="12" t="str">
        <x:v>Retry Guidance</x:v>
      </x:c>
      <x:c r="F1" s="19" t="str">
        <x:v>Team</x:v>
      </x:c>
      <x:c r="G1" s="19" t="str">
        <x:v>Territory ID</x:v>
      </x:c>
      <x:c r="H1" s="8"/>
      <x:c r="I1" s="13" t="str">
        <x:v>PURPLE TEAM / CURRENT CHALLENGE</x:v>
      </x:c>
      <x:c r="J1" s="8"/>
    </x:row>
    <x:row r="2" ht="24" customHeight="1">
      <x:c r="A2" s="8" t="str">
        <x:v>Allston</x:v>
      </x:c>
      <x:c r="B2" s="21" t="str">
        <x:v>Not opened</x:v>
      </x:c>
      <x:c r="C2" s="23"/>
      <x:c r="D2" s="22" t="str">
        <x:f>IF(B2="Not opened",IF(C2&lt;&gt;"","Clear reveal number",""),IF(C2="","Enter reveal number",IF(COUNTIFS($C$2:$C$38,C2)&gt;1,"Duplicate reveal number",IF(AND(B2="Active",COUNTIFS($B$2:$B$38,"Active")&gt;1),"Resolve other active challenge",""))))</x:f>
      </x:c>
      <x:c r="E2" s="22" t="str">
        <x:f>IF(B2="Not opened","Not revealed",IF(C2="","Enter reveal number",IF(OR(B2="Failed",B2="Abandoned"),IF(MAX($C$2:$C$38)&gt;C2,"No retry: newer card opened","Check card retry rule"),IF(B2="Succeeded","Completed","Work on this card"))))</x:f>
        <x:v>Not revealed</x:v>
      </x:c>
      <x:c r="F2" s="20" t="str">
        <x:v>Purple</x:v>
      </x:c>
      <x:c r="G2" s="20" t="str">
        <x:v>allston</x:v>
      </x:c>
      <x:c r="H2" s="8"/>
      <x:c r="I2" s="8" t="str">
        <x:f>IF(COUNTIFS($B$2:$B$38,"Active")&gt;1,"WARNING: multiple active challenges",IF(COUNTIFS($B$2:$B$38,"Active")=1,"One active challenge","No active challenge"))</x:f>
        <x:v>No active challenge</x:v>
      </x:c>
      <x:c r="J2" s="8"/>
    </x:row>
    <x:row r="3" ht="24" customHeight="1">
      <x:c r="A3" s="8" t="str">
        <x:v>Back Bay</x:v>
      </x:c>
      <x:c r="B3" s="21" t="str">
        <x:v>Not opened</x:v>
      </x:c>
      <x:c r="C3" s="23"/>
      <x:c r="D3" s="22" t="str">
        <x:f>IF(B3="Not opened",IF(C3&lt;&gt;"","Clear reveal number",""),IF(C3="","Enter reveal number",IF(COUNTIFS($C$2:$C$38,C3)&gt;1,"Duplicate reveal number",IF(AND(B3="Active",COUNTIFS($B$2:$B$38,"Active")&gt;1),"Resolve other active challenge",""))))</x:f>
      </x:c>
      <x:c r="E3" s="22" t="str">
        <x:f>IF(B3="Not opened","Not revealed",IF(C3="","Enter reveal number",IF(OR(B3="Failed",B3="Abandoned"),IF(MAX($C$2:$C$38)&gt;C3,"No retry: newer card opened","Check card retry rule"),IF(B3="Succeeded","Completed","Work on this card"))))</x:f>
        <x:v>Not revealed</x:v>
      </x:c>
      <x:c r="F3" s="20" t="str">
        <x:v>Purple</x:v>
      </x:c>
      <x:c r="G3" s="20" t="str">
        <x:v>back-bay</x:v>
      </x:c>
      <x:c r="H3" s="8"/>
      <x:c r="I3" s="8"/>
      <x:c r="J3" s="8"/>
    </x:row>
    <x:row r="4" ht="24" customHeight="1">
      <x:c r="A4" s="8" t="str">
        <x:v>Bay Village</x:v>
      </x:c>
      <x:c r="B4" s="21" t="str">
        <x:v>Not opened</x:v>
      </x:c>
      <x:c r="C4" s="23"/>
      <x:c r="D4" s="22" t="str">
        <x:f>IF(B4="Not opened",IF(C4&lt;&gt;"","Clear reveal number",""),IF(C4="","Enter reveal number",IF(COUNTIFS($C$2:$C$38,C4)&gt;1,"Duplicate reveal number",IF(AND(B4="Active",COUNTIFS($B$2:$B$38,"Active")&gt;1),"Resolve other active challenge",""))))</x:f>
      </x:c>
      <x:c r="E4" s="22" t="str">
        <x:f>IF(B4="Not opened","Not revealed",IF(C4="","Enter reveal number",IF(OR(B4="Failed",B4="Abandoned"),IF(MAX($C$2:$C$38)&gt;C4,"No retry: newer card opened","Check card retry rule"),IF(B4="Succeeded","Completed","Work on this card"))))</x:f>
        <x:v>Not revealed</x:v>
      </x:c>
      <x:c r="F4" s="20" t="str">
        <x:v>Purple</x:v>
      </x:c>
      <x:c r="G4" s="20" t="str">
        <x:v>bay-village</x:v>
      </x:c>
      <x:c r="H4" s="8"/>
      <x:c r="I4" s="8" t="str">
        <x:v>Next reveal number</x:v>
      </x:c>
      <x:c r="J4" s="18" t="n">
        <x:f>MAX($C$2:$C$38)+1</x:f>
        <x:v>1</x:v>
      </x:c>
    </x:row>
    <x:row r="5" ht="24" customHeight="1">
      <x:c r="A5" s="8" t="str">
        <x:v>Beacon Hill</x:v>
      </x:c>
      <x:c r="B5" s="21" t="str">
        <x:v>Not opened</x:v>
      </x:c>
      <x:c r="C5" s="23"/>
      <x:c r="D5" s="22" t="str">
        <x:f>IF(B5="Not opened",IF(C5&lt;&gt;"","Clear reveal number",""),IF(C5="","Enter reveal number",IF(COUNTIFS($C$2:$C$38,C5)&gt;1,"Duplicate reveal number",IF(AND(B5="Active",COUNTIFS($B$2:$B$38,"Active")&gt;1),"Resolve other active challenge",""))))</x:f>
      </x:c>
      <x:c r="E5" s="22" t="str">
        <x:f>IF(B5="Not opened","Not revealed",IF(C5="","Enter reveal number",IF(OR(B5="Failed",B5="Abandoned"),IF(MAX($C$2:$C$38)&gt;C5,"No retry: newer card opened","Check card retry rule"),IF(B5="Succeeded","Completed","Work on this card"))))</x:f>
        <x:v>Not revealed</x:v>
      </x:c>
      <x:c r="F5" s="20" t="str">
        <x:v>Purple</x:v>
      </x:c>
      <x:c r="G5" s="20" t="str">
        <x:v>beacon-hill</x:v>
      </x:c>
      <x:c r="H5" s="8"/>
      <x:c r="I5" s="8"/>
      <x:c r="J5" s="8"/>
    </x:row>
    <x:row r="6" ht="24" customHeight="1">
      <x:c r="A6" s="8" t="str">
        <x:v>Brighton</x:v>
      </x:c>
      <x:c r="B6" s="21" t="str">
        <x:v>Not opened</x:v>
      </x:c>
      <x:c r="C6" s="23"/>
      <x:c r="D6" s="22" t="str">
        <x:f>IF(B6="Not opened",IF(C6&lt;&gt;"","Clear reveal number",""),IF(C6="","Enter reveal number",IF(COUNTIFS($C$2:$C$38,C6)&gt;1,"Duplicate reveal number",IF(AND(B6="Active",COUNTIFS($B$2:$B$38,"Active")&gt;1),"Resolve other active challenge",""))))</x:f>
      </x:c>
      <x:c r="E6" s="22" t="str">
        <x:f>IF(B6="Not opened","Not revealed",IF(C6="","Enter reveal number",IF(OR(B6="Failed",B6="Abandoned"),IF(MAX($C$2:$C$38)&gt;C6,"No retry: newer card opened","Check card retry rule"),IF(B6="Succeeded","Completed","Work on this card"))))</x:f>
        <x:v>Not revealed</x:v>
      </x:c>
      <x:c r="F6" s="20" t="str">
        <x:v>Purple</x:v>
      </x:c>
      <x:c r="G6" s="20" t="str">
        <x:v>brighton</x:v>
      </x:c>
      <x:c r="H6" s="8"/>
      <x:c r="I6" s="8" t="str">
        <x:v>Edit only Reveal Order and Status.</x:v>
      </x:c>
      <x:c r="J6" s="8"/>
    </x:row>
    <x:row r="7" ht="24" customHeight="1">
      <x:c r="A7" s="8" t="str">
        <x:v>Charlestown</x:v>
      </x:c>
      <x:c r="B7" s="21" t="str">
        <x:v>Not opened</x:v>
      </x:c>
      <x:c r="C7" s="23"/>
      <x:c r="D7" s="22" t="str">
        <x:f>IF(B7="Not opened",IF(C7&lt;&gt;"","Clear reveal number",""),IF(C7="","Enter reveal number",IF(COUNTIFS($C$2:$C$38,C7)&gt;1,"Duplicate reveal number",IF(AND(B7="Active",COUNTIFS($B$2:$B$38,"Active")&gt;1),"Resolve other active challenge",""))))</x:f>
      </x:c>
      <x:c r="E7" s="22" t="str">
        <x:f>IF(B7="Not opened","Not revealed",IF(C7="","Enter reveal number",IF(OR(B7="Failed",B7="Abandoned"),IF(MAX($C$2:$C$38)&gt;C7,"No retry: newer card opened","Check card retry rule"),IF(B7="Succeeded","Completed","Work on this card"))))</x:f>
        <x:v>Not revealed</x:v>
      </x:c>
      <x:c r="F7" s="20" t="str">
        <x:v>Purple</x:v>
      </x:c>
      <x:c r="G7" s="20" t="str">
        <x:v>charlestown</x:v>
      </x:c>
      <x:c r="H7" s="8"/>
      <x:c r="I7" s="8" t="str">
        <x:v>Keep the reveal number when retrying.</x:v>
      </x:c>
      <x:c r="J7" s="8"/>
    </x:row>
    <x:row r="8" ht="24" customHeight="1">
      <x:c r="A8" s="8" t="str">
        <x:v>Chinatown</x:v>
      </x:c>
      <x:c r="B8" s="21" t="str">
        <x:v>Not opened</x:v>
      </x:c>
      <x:c r="C8" s="23"/>
      <x:c r="D8" s="22" t="str">
        <x:f>IF(B8="Not opened",IF(C8&lt;&gt;"","Clear reveal number",""),IF(C8="","Enter reveal number",IF(COUNTIFS($C$2:$C$38,C8)&gt;1,"Duplicate reveal number",IF(AND(B8="Active",COUNTIFS($B$2:$B$38,"Active")&gt;1),"Resolve other active challenge",""))))</x:f>
      </x:c>
      <x:c r="E8" s="22" t="str">
        <x:f>IF(B8="Not opened","Not revealed",IF(C8="","Enter reveal number",IF(OR(B8="Failed",B8="Abandoned"),IF(MAX($C$2:$C$38)&gt;C8,"No retry: newer card opened","Check card retry rule"),IF(B8="Succeeded","Completed","Work on this card"))))</x:f>
        <x:v>Not revealed</x:v>
      </x:c>
      <x:c r="F8" s="20" t="str">
        <x:v>Purple</x:v>
      </x:c>
      <x:c r="G8" s="20" t="str">
        <x:v>chinatown-leather-district</x:v>
      </x:c>
      <x:c r="H8" s="8"/>
      <x:c r="I8" s="8" t="str">
        <x:v>Resolve this card before opening another.</x:v>
      </x:c>
      <x:c r="J8" s="8"/>
    </x:row>
    <x:row r="9" ht="24" customHeight="1">
      <x:c r="A9" s="8" t="str">
        <x:v>Dorchester</x:v>
      </x:c>
      <x:c r="B9" s="21" t="str">
        <x:v>Not opened</x:v>
      </x:c>
      <x:c r="C9" s="23"/>
      <x:c r="D9" s="22" t="str">
        <x:f>IF(B9="Not opened",IF(C9&lt;&gt;"","Clear reveal number",""),IF(C9="","Enter reveal number",IF(COUNTIFS($C$2:$C$38,C9)&gt;1,"Duplicate reveal number",IF(AND(B9="Active",COUNTIFS($B$2:$B$38,"Active")&gt;1),"Resolve other active challenge",""))))</x:f>
      </x:c>
      <x:c r="E9" s="22" t="str">
        <x:f>IF(B9="Not opened","Not revealed",IF(C9="","Enter reveal number",IF(OR(B9="Failed",B9="Abandoned"),IF(MAX($C$2:$C$38)&gt;C9,"No retry: newer card opened","Check card retry rule"),IF(B9="Succeeded","Completed","Work on this card"))))</x:f>
        <x:v>Not revealed</x:v>
      </x:c>
      <x:c r="F9" s="20" t="str">
        <x:v>Purple</x:v>
      </x:c>
      <x:c r="G9" s="20" t="str">
        <x:v>dorchester</x:v>
      </x:c>
      <x:c r="H9" s="8"/>
      <x:c r="I9" s="8" t="str">
        <x:v>An older card cannot be retried after a newer reveal.</x:v>
      </x:c>
      <x:c r="J9" s="8"/>
    </x:row>
    <x:row r="10" ht="24" customHeight="1">
      <x:c r="A10" s="8" t="str">
        <x:v>Downtown</x:v>
      </x:c>
      <x:c r="B10" s="21" t="str">
        <x:v>Not opened</x:v>
      </x:c>
      <x:c r="C10" s="23"/>
      <x:c r="D10" s="22" t="str">
        <x:f>IF(B10="Not opened",IF(C10&lt;&gt;"","Clear reveal number",""),IF(C10="","Enter reveal number",IF(COUNTIFS($C$2:$C$38,C10)&gt;1,"Duplicate reveal number",IF(AND(B10="Active",COUNTIFS($B$2:$B$38,"Active")&gt;1),"Resolve other active challenge",""))))</x:f>
      </x:c>
      <x:c r="E10" s="22" t="str">
        <x:f>IF(B10="Not opened","Not revealed",IF(C10="","Enter reveal number",IF(OR(B10="Failed",B10="Abandoned"),IF(MAX($C$2:$C$38)&gt;C10,"No retry: newer card opened","Check card retry rule"),IF(B10="Succeeded","Completed","Work on this card"))))</x:f>
        <x:v>Not revealed</x:v>
      </x:c>
      <x:c r="F10" s="20" t="str">
        <x:v>Purple</x:v>
      </x:c>
      <x:c r="G10" s="20" t="str">
        <x:v>downtown</x:v>
      </x:c>
      <x:c r="H10" s="8"/>
      <x:c r="I10" s="8" t="str">
        <x:v>Whether a card allows retries is written on that card.</x:v>
      </x:c>
      <x:c r="J10" s="8"/>
    </x:row>
    <x:row r="11" ht="24" customHeight="1">
      <x:c r="A11" s="8" t="str">
        <x:v>East Boston</x:v>
      </x:c>
      <x:c r="B11" s="21" t="str">
        <x:v>Not opened</x:v>
      </x:c>
      <x:c r="C11" s="23"/>
      <x:c r="D11" s="22" t="str">
        <x:f>IF(B11="Not opened",IF(C11&lt;&gt;"","Clear reveal number",""),IF(C11="","Enter reveal number",IF(COUNTIFS($C$2:$C$38,C11)&gt;1,"Duplicate reveal number",IF(AND(B11="Active",COUNTIFS($B$2:$B$38,"Active")&gt;1),"Resolve other active challenge",""))))</x:f>
      </x:c>
      <x:c r="E11" s="22" t="str">
        <x:f>IF(B11="Not opened","Not revealed",IF(C11="","Enter reveal number",IF(OR(B11="Failed",B11="Abandoned"),IF(MAX($C$2:$C$38)&gt;C11,"No retry: newer card opened","Check card retry rule"),IF(B11="Succeeded","Completed","Work on this card"))))</x:f>
        <x:v>Not revealed</x:v>
      </x:c>
      <x:c r="F11" s="20" t="str">
        <x:v>Purple</x:v>
      </x:c>
      <x:c r="G11" s="20" t="str">
        <x:v>east-boston</x:v>
      </x:c>
      <x:c r="H11" s="8"/>
      <x:c r="I11" s="8"/>
      <x:c r="J11" s="8"/>
    </x:row>
    <x:row r="12" ht="24" customHeight="1">
      <x:c r="A12" s="8" t="str">
        <x:v>Fenway–Kenmore</x:v>
      </x:c>
      <x:c r="B12" s="21" t="str">
        <x:v>Not opened</x:v>
      </x:c>
      <x:c r="C12" s="23"/>
      <x:c r="D12" s="22" t="str">
        <x:f>IF(B12="Not opened",IF(C12&lt;&gt;"","Clear reveal number",""),IF(C12="","Enter reveal number",IF(COUNTIFS($C$2:$C$38,C12)&gt;1,"Duplicate reveal number",IF(AND(B12="Active",COUNTIFS($B$2:$B$38,"Active")&gt;1),"Resolve other active challenge",""))))</x:f>
      </x:c>
      <x:c r="E12" s="22" t="str">
        <x:f>IF(B12="Not opened","Not revealed",IF(C12="","Enter reveal number",IF(OR(B12="Failed",B12="Abandoned"),IF(MAX($C$2:$C$38)&gt;C12,"No retry: newer card opened","Check card retry rule"),IF(B12="Succeeded","Completed","Work on this card"))))</x:f>
        <x:v>Not revealed</x:v>
      </x:c>
      <x:c r="F12" s="20" t="str">
        <x:v>Purple</x:v>
      </x:c>
      <x:c r="G12" s="20" t="str">
        <x:v>fenway-kenmore</x:v>
      </x:c>
      <x:c r="H12" s="8"/>
      <x:c r="I12" s="8" t="str">
        <x:f>IF(Teams!C5="Yes","Active team","Inactive: do not use this tab")</x:f>
        <x:v>Active team</x:v>
      </x:c>
      <x:c r="J12" s="8"/>
    </x:row>
    <x:row r="13" ht="24" customHeight="1">
      <x:c r="A13" s="8" t="str">
        <x:v>Hyde Park</x:v>
      </x:c>
      <x:c r="B13" s="21" t="str">
        <x:v>Not opened</x:v>
      </x:c>
      <x:c r="C13" s="23"/>
      <x:c r="D13" s="22" t="str">
        <x:f>IF(B13="Not opened",IF(C13&lt;&gt;"","Clear reveal number",""),IF(C13="","Enter reveal number",IF(COUNTIFS($C$2:$C$38,C13)&gt;1,"Duplicate reveal number",IF(AND(B13="Active",COUNTIFS($B$2:$B$38,"Active")&gt;1),"Resolve other active challenge",""))))</x:f>
      </x:c>
      <x:c r="E13" s="22" t="str">
        <x:f>IF(B13="Not opened","Not revealed",IF(C13="","Enter reveal number",IF(OR(B13="Failed",B13="Abandoned"),IF(MAX($C$2:$C$38)&gt;C13,"No retry: newer card opened","Check card retry rule"),IF(B13="Succeeded","Completed","Work on this card"))))</x:f>
        <x:v>Not revealed</x:v>
      </x:c>
      <x:c r="F13" s="20" t="str">
        <x:v>Purple</x:v>
      </x:c>
      <x:c r="G13" s="20" t="str">
        <x:v>hyde-park</x:v>
      </x:c>
      <x:c r="H13" s="8"/>
      <x:c r="I13" s="8"/>
      <x:c r="J13" s="8"/>
    </x:row>
    <x:row r="14" ht="24" customHeight="1">
      <x:c r="A14" s="8" t="str">
        <x:v>Jamaica Plain</x:v>
      </x:c>
      <x:c r="B14" s="21" t="str">
        <x:v>Not opened</x:v>
      </x:c>
      <x:c r="C14" s="23"/>
      <x:c r="D14" s="22" t="str">
        <x:f>IF(B14="Not opened",IF(C14&lt;&gt;"","Clear reveal number",""),IF(C14="","Enter reveal number",IF(COUNTIFS($C$2:$C$38,C14)&gt;1,"Duplicate reveal number",IF(AND(B14="Active",COUNTIFS($B$2:$B$38,"Active")&gt;1),"Resolve other active challenge",""))))</x:f>
      </x:c>
      <x:c r="E14" s="22" t="str">
        <x:f>IF(B14="Not opened","Not revealed",IF(C14="","Enter reveal number",IF(OR(B14="Failed",B14="Abandoned"),IF(MAX($C$2:$C$38)&gt;C14,"No retry: newer card opened","Check card retry rule"),IF(B14="Succeeded","Completed","Work on this card"))))</x:f>
        <x:v>Not revealed</x:v>
      </x:c>
      <x:c r="F14" s="20" t="str">
        <x:v>Purple</x:v>
      </x:c>
      <x:c r="G14" s="20" t="str">
        <x:v>jamaica-plain</x:v>
      </x:c>
      <x:c r="H14" s="8"/>
      <x:c r="I14" s="8"/>
      <x:c r="J14" s="8"/>
    </x:row>
    <x:row r="15" ht="24" customHeight="1">
      <x:c r="A15" s="8" t="str">
        <x:v>Mattapan</x:v>
      </x:c>
      <x:c r="B15" s="21" t="str">
        <x:v>Not opened</x:v>
      </x:c>
      <x:c r="C15" s="23"/>
      <x:c r="D15" s="22" t="str">
        <x:f>IF(B15="Not opened",IF(C15&lt;&gt;"","Clear reveal number",""),IF(C15="","Enter reveal number",IF(COUNTIFS($C$2:$C$38,C15)&gt;1,"Duplicate reveal number",IF(AND(B15="Active",COUNTIFS($B$2:$B$38,"Active")&gt;1),"Resolve other active challenge",""))))</x:f>
      </x:c>
      <x:c r="E15" s="22" t="str">
        <x:f>IF(B15="Not opened","Not revealed",IF(C15="","Enter reveal number",IF(OR(B15="Failed",B15="Abandoned"),IF(MAX($C$2:$C$38)&gt;C15,"No retry: newer card opened","Check card retry rule"),IF(B15="Succeeded","Completed","Work on this card"))))</x:f>
        <x:v>Not revealed</x:v>
      </x:c>
      <x:c r="F15" s="20" t="str">
        <x:v>Purple</x:v>
      </x:c>
      <x:c r="G15" s="20" t="str">
        <x:v>mattapan</x:v>
      </x:c>
      <x:c r="H15" s="8"/>
      <x:c r="I15" s="8"/>
      <x:c r="J15" s="8"/>
    </x:row>
    <x:row r="16" ht="24" customHeight="1">
      <x:c r="A16" s="8" t="str">
        <x:v>Mission Hill</x:v>
      </x:c>
      <x:c r="B16" s="21" t="str">
        <x:v>Not opened</x:v>
      </x:c>
      <x:c r="C16" s="23"/>
      <x:c r="D16" s="22" t="str">
        <x:f>IF(B16="Not opened",IF(C16&lt;&gt;"","Clear reveal number",""),IF(C16="","Enter reveal number",IF(COUNTIFS($C$2:$C$38,C16)&gt;1,"Duplicate reveal number",IF(AND(B16="Active",COUNTIFS($B$2:$B$38,"Active")&gt;1),"Resolve other active challenge",""))))</x:f>
      </x:c>
      <x:c r="E16" s="22" t="str">
        <x:f>IF(B16="Not opened","Not revealed",IF(C16="","Enter reveal number",IF(OR(B16="Failed",B16="Abandoned"),IF(MAX($C$2:$C$38)&gt;C16,"No retry: newer card opened","Check card retry rule"),IF(B16="Succeeded","Completed","Work on this card"))))</x:f>
        <x:v>Not revealed</x:v>
      </x:c>
      <x:c r="F16" s="20" t="str">
        <x:v>Purple</x:v>
      </x:c>
      <x:c r="G16" s="20" t="str">
        <x:v>mission-hill</x:v>
      </x:c>
      <x:c r="H16" s="8"/>
      <x:c r="I16" s="8"/>
      <x:c r="J16" s="8"/>
    </x:row>
    <x:row r="17" ht="24" customHeight="1">
      <x:c r="A17" s="8" t="str">
        <x:v>North End</x:v>
      </x:c>
      <x:c r="B17" s="21" t="str">
        <x:v>Not opened</x:v>
      </x:c>
      <x:c r="C17" s="23"/>
      <x:c r="D17" s="22" t="str">
        <x:f>IF(B17="Not opened",IF(C17&lt;&gt;"","Clear reveal number",""),IF(C17="","Enter reveal number",IF(COUNTIFS($C$2:$C$38,C17)&gt;1,"Duplicate reveal number",IF(AND(B17="Active",COUNTIFS($B$2:$B$38,"Active")&gt;1),"Resolve other active challenge",""))))</x:f>
      </x:c>
      <x:c r="E17" s="22" t="str">
        <x:f>IF(B17="Not opened","Not revealed",IF(C17="","Enter reveal number",IF(OR(B17="Failed",B17="Abandoned"),IF(MAX($C$2:$C$38)&gt;C17,"No retry: newer card opened","Check card retry rule"),IF(B17="Succeeded","Completed","Work on this card"))))</x:f>
        <x:v>Not revealed</x:v>
      </x:c>
      <x:c r="F17" s="20" t="str">
        <x:v>Purple</x:v>
      </x:c>
      <x:c r="G17" s="20" t="str">
        <x:v>north-end</x:v>
      </x:c>
      <x:c r="H17" s="8"/>
      <x:c r="I17" s="8"/>
      <x:c r="J17" s="8"/>
    </x:row>
    <x:row r="18" ht="24" customHeight="1">
      <x:c r="A18" s="8" t="str">
        <x:v>Roslindale</x:v>
      </x:c>
      <x:c r="B18" s="21" t="str">
        <x:v>Not opened</x:v>
      </x:c>
      <x:c r="C18" s="23"/>
      <x:c r="D18" s="22" t="str">
        <x:f>IF(B18="Not opened",IF(C18&lt;&gt;"","Clear reveal number",""),IF(C18="","Enter reveal number",IF(COUNTIFS($C$2:$C$38,C18)&gt;1,"Duplicate reveal number",IF(AND(B18="Active",COUNTIFS($B$2:$B$38,"Active")&gt;1),"Resolve other active challenge",""))))</x:f>
      </x:c>
      <x:c r="E18" s="22" t="str">
        <x:f>IF(B18="Not opened","Not revealed",IF(C18="","Enter reveal number",IF(OR(B18="Failed",B18="Abandoned"),IF(MAX($C$2:$C$38)&gt;C18,"No retry: newer card opened","Check card retry rule"),IF(B18="Succeeded","Completed","Work on this card"))))</x:f>
        <x:v>Not revealed</x:v>
      </x:c>
      <x:c r="F18" s="20" t="str">
        <x:v>Purple</x:v>
      </x:c>
      <x:c r="G18" s="20" t="str">
        <x:v>roslindale</x:v>
      </x:c>
      <x:c r="H18" s="8"/>
      <x:c r="I18" s="8"/>
      <x:c r="J18" s="8"/>
    </x:row>
    <x:row r="19" ht="24" customHeight="1">
      <x:c r="A19" s="8" t="str">
        <x:v>Roxbury</x:v>
      </x:c>
      <x:c r="B19" s="21" t="str">
        <x:v>Not opened</x:v>
      </x:c>
      <x:c r="C19" s="23"/>
      <x:c r="D19" s="22" t="str">
        <x:f>IF(B19="Not opened",IF(C19&lt;&gt;"","Clear reveal number",""),IF(C19="","Enter reveal number",IF(COUNTIFS($C$2:$C$38,C19)&gt;1,"Duplicate reveal number",IF(AND(B19="Active",COUNTIFS($B$2:$B$38,"Active")&gt;1),"Resolve other active challenge",""))))</x:f>
      </x:c>
      <x:c r="E19" s="22" t="str">
        <x:f>IF(B19="Not opened","Not revealed",IF(C19="","Enter reveal number",IF(OR(B19="Failed",B19="Abandoned"),IF(MAX($C$2:$C$38)&gt;C19,"No retry: newer card opened","Check card retry rule"),IF(B19="Succeeded","Completed","Work on this card"))))</x:f>
        <x:v>Not revealed</x:v>
      </x:c>
      <x:c r="F19" s="20" t="str">
        <x:v>Purple</x:v>
      </x:c>
      <x:c r="G19" s="20" t="str">
        <x:v>roxbury</x:v>
      </x:c>
      <x:c r="H19" s="8"/>
      <x:c r="I19" s="8"/>
      <x:c r="J19" s="8"/>
    </x:row>
    <x:row r="20" ht="24" customHeight="1">
      <x:c r="A20" s="8" t="str">
        <x:v>South Boston</x:v>
      </x:c>
      <x:c r="B20" s="21" t="str">
        <x:v>Not opened</x:v>
      </x:c>
      <x:c r="C20" s="23"/>
      <x:c r="D20" s="22" t="str">
        <x:f>IF(B20="Not opened",IF(C20&lt;&gt;"","Clear reveal number",""),IF(C20="","Enter reveal number",IF(COUNTIFS($C$2:$C$38,C20)&gt;1,"Duplicate reveal number",IF(AND(B20="Active",COUNTIFS($B$2:$B$38,"Active")&gt;1),"Resolve other active challenge",""))))</x:f>
      </x:c>
      <x:c r="E20" s="22" t="str">
        <x:f>IF(B20="Not opened","Not revealed",IF(C20="","Enter reveal number",IF(OR(B20="Failed",B20="Abandoned"),IF(MAX($C$2:$C$38)&gt;C20,"No retry: newer card opened","Check card retry rule"),IF(B20="Succeeded","Completed","Work on this card"))))</x:f>
        <x:v>Not revealed</x:v>
      </x:c>
      <x:c r="F20" s="20" t="str">
        <x:v>Purple</x:v>
      </x:c>
      <x:c r="G20" s="20" t="str">
        <x:v>south-boston</x:v>
      </x:c>
      <x:c r="H20" s="8"/>
      <x:c r="I20" s="8"/>
      <x:c r="J20" s="8"/>
    </x:row>
    <x:row r="21" ht="24" customHeight="1">
      <x:c r="A21" s="8" t="str">
        <x:v>South End</x:v>
      </x:c>
      <x:c r="B21" s="21" t="str">
        <x:v>Not opened</x:v>
      </x:c>
      <x:c r="C21" s="23"/>
      <x:c r="D21" s="22" t="str">
        <x:f>IF(B21="Not opened",IF(C21&lt;&gt;"","Clear reveal number",""),IF(C21="","Enter reveal number",IF(COUNTIFS($C$2:$C$38,C21)&gt;1,"Duplicate reveal number",IF(AND(B21="Active",COUNTIFS($B$2:$B$38,"Active")&gt;1),"Resolve other active challenge",""))))</x:f>
      </x:c>
      <x:c r="E21" s="22" t="str">
        <x:f>IF(B21="Not opened","Not revealed",IF(C21="","Enter reveal number",IF(OR(B21="Failed",B21="Abandoned"),IF(MAX($C$2:$C$38)&gt;C21,"No retry: newer card opened","Check card retry rule"),IF(B21="Succeeded","Completed","Work on this card"))))</x:f>
        <x:v>Not revealed</x:v>
      </x:c>
      <x:c r="F21" s="20" t="str">
        <x:v>Purple</x:v>
      </x:c>
      <x:c r="G21" s="20" t="str">
        <x:v>south-end</x:v>
      </x:c>
      <x:c r="H21" s="8"/>
      <x:c r="I21" s="8"/>
      <x:c r="J21" s="8"/>
    </x:row>
    <x:row r="22" ht="24" customHeight="1">
      <x:c r="A22" s="8" t="str">
        <x:v>West End</x:v>
      </x:c>
      <x:c r="B22" s="21" t="str">
        <x:v>Not opened</x:v>
      </x:c>
      <x:c r="C22" s="23"/>
      <x:c r="D22" s="22" t="str">
        <x:f>IF(B22="Not opened",IF(C22&lt;&gt;"","Clear reveal number",""),IF(C22="","Enter reveal number",IF(COUNTIFS($C$2:$C$38,C22)&gt;1,"Duplicate reveal number",IF(AND(B22="Active",COUNTIFS($B$2:$B$38,"Active")&gt;1),"Resolve other active challenge",""))))</x:f>
      </x:c>
      <x:c r="E22" s="22" t="str">
        <x:f>IF(B22="Not opened","Not revealed",IF(C22="","Enter reveal number",IF(OR(B22="Failed",B22="Abandoned"),IF(MAX($C$2:$C$38)&gt;C22,"No retry: newer card opened","Check card retry rule"),IF(B22="Succeeded","Completed","Work on this card"))))</x:f>
        <x:v>Not revealed</x:v>
      </x:c>
      <x:c r="F22" s="20" t="str">
        <x:v>Purple</x:v>
      </x:c>
      <x:c r="G22" s="20" t="str">
        <x:v>west-end</x:v>
      </x:c>
      <x:c r="H22" s="8"/>
      <x:c r="I22" s="8"/>
      <x:c r="J22" s="8"/>
    </x:row>
    <x:row r="23" ht="24" customHeight="1">
      <x:c r="A23" s="8" t="str">
        <x:v>West Roxbury</x:v>
      </x:c>
      <x:c r="B23" s="21" t="str">
        <x:v>Not opened</x:v>
      </x:c>
      <x:c r="C23" s="23"/>
      <x:c r="D23" s="22" t="str">
        <x:f>IF(B23="Not opened",IF(C23&lt;&gt;"","Clear reveal number",""),IF(C23="","Enter reveal number",IF(COUNTIFS($C$2:$C$38,C23)&gt;1,"Duplicate reveal number",IF(AND(B23="Active",COUNTIFS($B$2:$B$38,"Active")&gt;1),"Resolve other active challenge",""))))</x:f>
      </x:c>
      <x:c r="E23" s="22" t="str">
        <x:f>IF(B23="Not opened","Not revealed",IF(C23="","Enter reveal number",IF(OR(B23="Failed",B23="Abandoned"),IF(MAX($C$2:$C$38)&gt;C23,"No retry: newer card opened","Check card retry rule"),IF(B23="Succeeded","Completed","Work on this card"))))</x:f>
        <x:v>Not revealed</x:v>
      </x:c>
      <x:c r="F23" s="20" t="str">
        <x:v>Purple</x:v>
      </x:c>
      <x:c r="G23" s="20" t="str">
        <x:v>west-roxbury</x:v>
      </x:c>
      <x:c r="H23" s="8"/>
      <x:c r="I23" s="8"/>
      <x:c r="J23" s="8"/>
    </x:row>
    <x:row r="24" ht="24" customHeight="1">
      <x:c r="A24" s="8" t="str">
        <x:v>Seaport</x:v>
      </x:c>
      <x:c r="B24" s="21" t="str">
        <x:v>Not opened</x:v>
      </x:c>
      <x:c r="C24" s="23"/>
      <x:c r="D24" s="22" t="str">
        <x:f>IF(B24="Not opened",IF(C24&lt;&gt;"","Clear reveal number",""),IF(C24="","Enter reveal number",IF(COUNTIFS($C$2:$C$38,C24)&gt;1,"Duplicate reveal number",IF(AND(B24="Active",COUNTIFS($B$2:$B$38,"Active")&gt;1),"Resolve other active challenge",""))))</x:f>
      </x:c>
      <x:c r="E24" s="22" t="str">
        <x:f>IF(B24="Not opened","Not revealed",IF(C24="","Enter reveal number",IF(OR(B24="Failed",B24="Abandoned"),IF(MAX($C$2:$C$38)&gt;C24,"No retry: newer card opened","Check card retry rule"),IF(B24="Succeeded","Completed","Work on this card"))))</x:f>
        <x:v>Not revealed</x:v>
      </x:c>
      <x:c r="F24" s="20" t="str">
        <x:v>Purple</x:v>
      </x:c>
      <x:c r="G24" s="20" t="str">
        <x:v>seaport</x:v>
      </x:c>
      <x:c r="H24" s="8"/>
      <x:c r="I24" s="8"/>
      <x:c r="J24" s="8"/>
    </x:row>
    <x:row r="25" ht="24" customHeight="1">
      <x:c r="A25" s="8" t="str">
        <x:v>Cambridge</x:v>
      </x:c>
      <x:c r="B25" s="21" t="str">
        <x:v>Not opened</x:v>
      </x:c>
      <x:c r="C25" s="23"/>
      <x:c r="D25" s="22" t="str">
        <x:f>IF(B25="Not opened",IF(C25&lt;&gt;"","Clear reveal number",""),IF(C25="","Enter reveal number",IF(COUNTIFS($C$2:$C$38,C25)&gt;1,"Duplicate reveal number",IF(AND(B25="Active",COUNTIFS($B$2:$B$38,"Active")&gt;1),"Resolve other active challenge",""))))</x:f>
      </x:c>
      <x:c r="E25" s="22" t="str">
        <x:f>IF(B25="Not opened","Not revealed",IF(C25="","Enter reveal number",IF(OR(B25="Failed",B25="Abandoned"),IF(MAX($C$2:$C$38)&gt;C25,"No retry: newer card opened","Check card retry rule"),IF(B25="Succeeded","Completed","Work on this card"))))</x:f>
        <x:v>Not revealed</x:v>
      </x:c>
      <x:c r="F25" s="20" t="str">
        <x:v>Purple</x:v>
      </x:c>
      <x:c r="G25" s="20" t="str">
        <x:v>cambridge</x:v>
      </x:c>
      <x:c r="H25" s="8"/>
      <x:c r="I25" s="8"/>
      <x:c r="J25" s="8"/>
    </x:row>
    <x:row r="26" ht="24" customHeight="1">
      <x:c r="A26" s="8" t="str">
        <x:v>Somerville</x:v>
      </x:c>
      <x:c r="B26" s="21" t="str">
        <x:v>Not opened</x:v>
      </x:c>
      <x:c r="C26" s="23"/>
      <x:c r="D26" s="22" t="str">
        <x:f>IF(B26="Not opened",IF(C26&lt;&gt;"","Clear reveal number",""),IF(C26="","Enter reveal number",IF(COUNTIFS($C$2:$C$38,C26)&gt;1,"Duplicate reveal number",IF(AND(B26="Active",COUNTIFS($B$2:$B$38,"Active")&gt;1),"Resolve other active challenge",""))))</x:f>
      </x:c>
      <x:c r="E26" s="22" t="str">
        <x:f>IF(B26="Not opened","Not revealed",IF(C26="","Enter reveal number",IF(OR(B26="Failed",B26="Abandoned"),IF(MAX($C$2:$C$38)&gt;C26,"No retry: newer card opened","Check card retry rule"),IF(B26="Succeeded","Completed","Work on this card"))))</x:f>
        <x:v>Not revealed</x:v>
      </x:c>
      <x:c r="F26" s="20" t="str">
        <x:v>Purple</x:v>
      </x:c>
      <x:c r="G26" s="20" t="str">
        <x:v>somerville</x:v>
      </x:c>
      <x:c r="H26" s="8"/>
      <x:c r="I26" s="8"/>
      <x:c r="J26" s="8"/>
    </x:row>
    <x:row r="27" ht="24" customHeight="1">
      <x:c r="A27" s="8" t="str">
        <x:v>Everett</x:v>
      </x:c>
      <x:c r="B27" s="21" t="str">
        <x:v>Not opened</x:v>
      </x:c>
      <x:c r="C27" s="23"/>
      <x:c r="D27" s="22" t="str">
        <x:f>IF(B27="Not opened",IF(C27&lt;&gt;"","Clear reveal number",""),IF(C27="","Enter reveal number",IF(COUNTIFS($C$2:$C$38,C27)&gt;1,"Duplicate reveal number",IF(AND(B27="Active",COUNTIFS($B$2:$B$38,"Active")&gt;1),"Resolve other active challenge",""))))</x:f>
      </x:c>
      <x:c r="E27" s="22" t="str">
        <x:f>IF(B27="Not opened","Not revealed",IF(C27="","Enter reveal number",IF(OR(B27="Failed",B27="Abandoned"),IF(MAX($C$2:$C$38)&gt;C27,"No retry: newer card opened","Check card retry rule"),IF(B27="Succeeded","Completed","Work on this card"))))</x:f>
        <x:v>Not revealed</x:v>
      </x:c>
      <x:c r="F27" s="20" t="str">
        <x:v>Purple</x:v>
      </x:c>
      <x:c r="G27" s="20" t="str">
        <x:v>everett</x:v>
      </x:c>
      <x:c r="H27" s="8"/>
      <x:c r="I27" s="8"/>
      <x:c r="J27" s="8"/>
    </x:row>
    <x:row r="28" ht="24" customHeight="1">
      <x:c r="A28" s="8" t="str">
        <x:v>Chelsea</x:v>
      </x:c>
      <x:c r="B28" s="21" t="str">
        <x:v>Not opened</x:v>
      </x:c>
      <x:c r="C28" s="23"/>
      <x:c r="D28" s="22" t="str">
        <x:f>IF(B28="Not opened",IF(C28&lt;&gt;"","Clear reveal number",""),IF(C28="","Enter reveal number",IF(COUNTIFS($C$2:$C$38,C28)&gt;1,"Duplicate reveal number",IF(AND(B28="Active",COUNTIFS($B$2:$B$38,"Active")&gt;1),"Resolve other active challenge",""))))</x:f>
      </x:c>
      <x:c r="E28" s="22" t="str">
        <x:f>IF(B28="Not opened","Not revealed",IF(C28="","Enter reveal number",IF(OR(B28="Failed",B28="Abandoned"),IF(MAX($C$2:$C$38)&gt;C28,"No retry: newer card opened","Check card retry rule"),IF(B28="Succeeded","Completed","Work on this card"))))</x:f>
        <x:v>Not revealed</x:v>
      </x:c>
      <x:c r="F28" s="20" t="str">
        <x:v>Purple</x:v>
      </x:c>
      <x:c r="G28" s="20" t="str">
        <x:v>chelsea</x:v>
      </x:c>
      <x:c r="H28" s="8"/>
      <x:c r="I28" s="8"/>
      <x:c r="J28" s="8"/>
    </x:row>
    <x:row r="29" ht="24" customHeight="1">
      <x:c r="A29" s="8" t="str">
        <x:v>Revere</x:v>
      </x:c>
      <x:c r="B29" s="21" t="str">
        <x:v>Not opened</x:v>
      </x:c>
      <x:c r="C29" s="23"/>
      <x:c r="D29" s="22" t="str">
        <x:f>IF(B29="Not opened",IF(C29&lt;&gt;"","Clear reveal number",""),IF(C29="","Enter reveal number",IF(COUNTIFS($C$2:$C$38,C29)&gt;1,"Duplicate reveal number",IF(AND(B29="Active",COUNTIFS($B$2:$B$38,"Active")&gt;1),"Resolve other active challenge",""))))</x:f>
      </x:c>
      <x:c r="E29" s="22" t="str">
        <x:f>IF(B29="Not opened","Not revealed",IF(C29="","Enter reveal number",IF(OR(B29="Failed",B29="Abandoned"),IF(MAX($C$2:$C$38)&gt;C29,"No retry: newer card opened","Check card retry rule"),IF(B29="Succeeded","Completed","Work on this card"))))</x:f>
        <x:v>Not revealed</x:v>
      </x:c>
      <x:c r="F29" s="20" t="str">
        <x:v>Purple</x:v>
      </x:c>
      <x:c r="G29" s="20" t="str">
        <x:v>revere</x:v>
      </x:c>
      <x:c r="H29" s="8"/>
      <x:c r="I29" s="8"/>
      <x:c r="J29" s="8"/>
    </x:row>
    <x:row r="30" ht="24" customHeight="1">
      <x:c r="A30" s="8" t="str">
        <x:v>Malden</x:v>
      </x:c>
      <x:c r="B30" s="21" t="str">
        <x:v>Not opened</x:v>
      </x:c>
      <x:c r="C30" s="23"/>
      <x:c r="D30" s="22" t="str">
        <x:f>IF(B30="Not opened",IF(C30&lt;&gt;"","Clear reveal number",""),IF(C30="","Enter reveal number",IF(COUNTIFS($C$2:$C$38,C30)&gt;1,"Duplicate reveal number",IF(AND(B30="Active",COUNTIFS($B$2:$B$38,"Active")&gt;1),"Resolve other active challenge",""))))</x:f>
      </x:c>
      <x:c r="E30" s="22" t="str">
        <x:f>IF(B30="Not opened","Not revealed",IF(C30="","Enter reveal number",IF(OR(B30="Failed",B30="Abandoned"),IF(MAX($C$2:$C$38)&gt;C30,"No retry: newer card opened","Check card retry rule"),IF(B30="Succeeded","Completed","Work on this card"))))</x:f>
        <x:v>Not revealed</x:v>
      </x:c>
      <x:c r="F30" s="20" t="str">
        <x:v>Purple</x:v>
      </x:c>
      <x:c r="G30" s="20" t="str">
        <x:v>malden</x:v>
      </x:c>
      <x:c r="H30" s="8"/>
      <x:c r="I30" s="8"/>
      <x:c r="J30" s="8"/>
    </x:row>
    <x:row r="31" ht="24" customHeight="1">
      <x:c r="A31" s="8" t="str">
        <x:v>Medford</x:v>
      </x:c>
      <x:c r="B31" s="21" t="str">
        <x:v>Not opened</x:v>
      </x:c>
      <x:c r="C31" s="23"/>
      <x:c r="D31" s="22" t="str">
        <x:f>IF(B31="Not opened",IF(C31&lt;&gt;"","Clear reveal number",""),IF(C31="","Enter reveal number",IF(COUNTIFS($C$2:$C$38,C31)&gt;1,"Duplicate reveal number",IF(AND(B31="Active",COUNTIFS($B$2:$B$38,"Active")&gt;1),"Resolve other active challenge",""))))</x:f>
      </x:c>
      <x:c r="E31" s="22" t="str">
        <x:f>IF(B31="Not opened","Not revealed",IF(C31="","Enter reveal number",IF(OR(B31="Failed",B31="Abandoned"),IF(MAX($C$2:$C$38)&gt;C31,"No retry: newer card opened","Check card retry rule"),IF(B31="Succeeded","Completed","Work on this card"))))</x:f>
        <x:v>Not revealed</x:v>
      </x:c>
      <x:c r="F31" s="20" t="str">
        <x:v>Purple</x:v>
      </x:c>
      <x:c r="G31" s="20" t="str">
        <x:v>medford</x:v>
      </x:c>
      <x:c r="H31" s="8"/>
      <x:c r="I31" s="8"/>
      <x:c r="J31" s="8"/>
    </x:row>
    <x:row r="32" ht="24" customHeight="1">
      <x:c r="A32" s="8" t="str">
        <x:v>Brookline</x:v>
      </x:c>
      <x:c r="B32" s="21" t="str">
        <x:v>Not opened</x:v>
      </x:c>
      <x:c r="C32" s="23"/>
      <x:c r="D32" s="22" t="str">
        <x:f>IF(B32="Not opened",IF(C32&lt;&gt;"","Clear reveal number",""),IF(C32="","Enter reveal number",IF(COUNTIFS($C$2:$C$38,C32)&gt;1,"Duplicate reveal number",IF(AND(B32="Active",COUNTIFS($B$2:$B$38,"Active")&gt;1),"Resolve other active challenge",""))))</x:f>
      </x:c>
      <x:c r="E32" s="22" t="str">
        <x:f>IF(B32="Not opened","Not revealed",IF(C32="","Enter reveal number",IF(OR(B32="Failed",B32="Abandoned"),IF(MAX($C$2:$C$38)&gt;C32,"No retry: newer card opened","Check card retry rule"),IF(B32="Succeeded","Completed","Work on this card"))))</x:f>
        <x:v>Not revealed</x:v>
      </x:c>
      <x:c r="F32" s="20" t="str">
        <x:v>Purple</x:v>
      </x:c>
      <x:c r="G32" s="20" t="str">
        <x:v>brookline</x:v>
      </x:c>
      <x:c r="H32" s="8"/>
      <x:c r="I32" s="8"/>
      <x:c r="J32" s="8"/>
    </x:row>
    <x:row r="33" ht="24" customHeight="1">
      <x:c r="A33" s="8" t="str">
        <x:v>Newton</x:v>
      </x:c>
      <x:c r="B33" s="21" t="str">
        <x:v>Not opened</x:v>
      </x:c>
      <x:c r="C33" s="23"/>
      <x:c r="D33" s="22" t="str">
        <x:f>IF(B33="Not opened",IF(C33&lt;&gt;"","Clear reveal number",""),IF(C33="","Enter reveal number",IF(COUNTIFS($C$2:$C$38,C33)&gt;1,"Duplicate reveal number",IF(AND(B33="Active",COUNTIFS($B$2:$B$38,"Active")&gt;1),"Resolve other active challenge",""))))</x:f>
      </x:c>
      <x:c r="E33" s="22" t="str">
        <x:f>IF(B33="Not opened","Not revealed",IF(C33="","Enter reveal number",IF(OR(B33="Failed",B33="Abandoned"),IF(MAX($C$2:$C$38)&gt;C33,"No retry: newer card opened","Check card retry rule"),IF(B33="Succeeded","Completed","Work on this card"))))</x:f>
        <x:v>Not revealed</x:v>
      </x:c>
      <x:c r="F33" s="20" t="str">
        <x:v>Purple</x:v>
      </x:c>
      <x:c r="G33" s="20" t="str">
        <x:v>newton</x:v>
      </x:c>
      <x:c r="H33" s="8"/>
      <x:c r="I33" s="8"/>
      <x:c r="J33" s="8"/>
    </x:row>
    <x:row r="34" ht="24" customHeight="1">
      <x:c r="A34" s="8" t="str">
        <x:v>Quincy</x:v>
      </x:c>
      <x:c r="B34" s="21" t="str">
        <x:v>Not opened</x:v>
      </x:c>
      <x:c r="C34" s="23"/>
      <x:c r="D34" s="22" t="str">
        <x:f>IF(B34="Not opened",IF(C34&lt;&gt;"","Clear reveal number",""),IF(C34="","Enter reveal number",IF(COUNTIFS($C$2:$C$38,C34)&gt;1,"Duplicate reveal number",IF(AND(B34="Active",COUNTIFS($B$2:$B$38,"Active")&gt;1),"Resolve other active challenge",""))))</x:f>
      </x:c>
      <x:c r="E34" s="22" t="str">
        <x:f>IF(B34="Not opened","Not revealed",IF(C34="","Enter reveal number",IF(OR(B34="Failed",B34="Abandoned"),IF(MAX($C$2:$C$38)&gt;C34,"No retry: newer card opened","Check card retry rule"),IF(B34="Succeeded","Completed","Work on this card"))))</x:f>
        <x:v>Not revealed</x:v>
      </x:c>
      <x:c r="F34" s="20" t="str">
        <x:v>Purple</x:v>
      </x:c>
      <x:c r="G34" s="20" t="str">
        <x:v>quincy</x:v>
      </x:c>
      <x:c r="H34" s="8"/>
      <x:c r="I34" s="8"/>
      <x:c r="J34" s="8"/>
    </x:row>
    <x:row r="35" ht="24" customHeight="1">
      <x:c r="A35" s="8" t="str">
        <x:v>Braintree</x:v>
      </x:c>
      <x:c r="B35" s="21" t="str">
        <x:v>Not opened</x:v>
      </x:c>
      <x:c r="C35" s="23"/>
      <x:c r="D35" s="22" t="str">
        <x:f>IF(B35="Not opened",IF(C35&lt;&gt;"","Clear reveal number",""),IF(C35="","Enter reveal number",IF(COUNTIFS($C$2:$C$38,C35)&gt;1,"Duplicate reveal number",IF(AND(B35="Active",COUNTIFS($B$2:$B$38,"Active")&gt;1),"Resolve other active challenge",""))))</x:f>
      </x:c>
      <x:c r="E35" s="22" t="str">
        <x:f>IF(B35="Not opened","Not revealed",IF(C35="","Enter reveal number",IF(OR(B35="Failed",B35="Abandoned"),IF(MAX($C$2:$C$38)&gt;C35,"No retry: newer card opened","Check card retry rule"),IF(B35="Succeeded","Completed","Work on this card"))))</x:f>
        <x:v>Not revealed</x:v>
      </x:c>
      <x:c r="F35" s="20" t="str">
        <x:v>Purple</x:v>
      </x:c>
      <x:c r="G35" s="20" t="str">
        <x:v>braintree</x:v>
      </x:c>
      <x:c r="H35" s="8"/>
      <x:c r="I35" s="8"/>
      <x:c r="J35" s="8"/>
    </x:row>
    <x:row r="36" ht="24" customHeight="1">
      <x:c r="A36" s="8" t="str">
        <x:v>Winthrop</x:v>
      </x:c>
      <x:c r="B36" s="21" t="str">
        <x:v>Not opened</x:v>
      </x:c>
      <x:c r="C36" s="23"/>
      <x:c r="D36" s="22" t="str">
        <x:f>IF(B36="Not opened",IF(C36&lt;&gt;"","Clear reveal number",""),IF(C36="","Enter reveal number",IF(COUNTIFS($C$2:$C$38,C36)&gt;1,"Duplicate reveal number",IF(AND(B36="Active",COUNTIFS($B$2:$B$38,"Active")&gt;1),"Resolve other active challenge",""))))</x:f>
      </x:c>
      <x:c r="E36" s="22" t="str">
        <x:f>IF(B36="Not opened","Not revealed",IF(C36="","Enter reveal number",IF(OR(B36="Failed",B36="Abandoned"),IF(MAX($C$2:$C$38)&gt;C36,"No retry: newer card opened","Check card retry rule"),IF(B36="Succeeded","Completed","Work on this card"))))</x:f>
        <x:v>Not revealed</x:v>
      </x:c>
      <x:c r="F36" s="20" t="str">
        <x:v>Purple</x:v>
      </x:c>
      <x:c r="G36" s="20" t="str">
        <x:v>winthrop</x:v>
      </x:c>
      <x:c r="H36" s="8"/>
      <x:c r="I36" s="8"/>
      <x:c r="J36" s="8"/>
    </x:row>
    <x:row r="37" ht="24" customHeight="1">
      <x:c r="A37" s="8" t="str">
        <x:v>Milton</x:v>
      </x:c>
      <x:c r="B37" s="21" t="str">
        <x:v>Not opened</x:v>
      </x:c>
      <x:c r="C37" s="23"/>
      <x:c r="D37" s="22" t="str">
        <x:f>IF(B37="Not opened",IF(C37&lt;&gt;"","Clear reveal number",""),IF(C37="","Enter reveal number",IF(COUNTIFS($C$2:$C$38,C37)&gt;1,"Duplicate reveal number",IF(AND(B37="Active",COUNTIFS($B$2:$B$38,"Active")&gt;1),"Resolve other active challenge",""))))</x:f>
      </x:c>
      <x:c r="E37" s="22" t="str">
        <x:f>IF(B37="Not opened","Not revealed",IF(C37="","Enter reveal number",IF(OR(B37="Failed",B37="Abandoned"),IF(MAX($C$2:$C$38)&gt;C37,"No retry: newer card opened","Check card retry rule"),IF(B37="Succeeded","Completed","Work on this card"))))</x:f>
        <x:v>Not revealed</x:v>
      </x:c>
      <x:c r="F37" s="20" t="str">
        <x:v>Purple</x:v>
      </x:c>
      <x:c r="G37" s="20" t="str">
        <x:v>milton</x:v>
      </x:c>
      <x:c r="H37" s="8"/>
      <x:c r="I37" s="8"/>
      <x:c r="J37" s="8"/>
    </x:row>
    <x:row r="38" ht="24" customHeight="1">
      <x:c r="A38" s="8" t="str">
        <x:v>Longwood</x:v>
      </x:c>
      <x:c r="B38" s="21" t="str">
        <x:v>Not opened</x:v>
      </x:c>
      <x:c r="C38" s="23"/>
      <x:c r="D38" s="22" t="str">
        <x:f>IF(B38="Not opened",IF(C38&lt;&gt;"","Clear reveal number",""),IF(C38="","Enter reveal number",IF(COUNTIFS($C$2:$C$38,C38)&gt;1,"Duplicate reveal number",IF(AND(B38="Active",COUNTIFS($B$2:$B$38,"Active")&gt;1),"Resolve other active challenge",""))))</x:f>
      </x:c>
      <x:c r="E38" s="22" t="str">
        <x:f>IF(B38="Not opened","Not revealed",IF(C38="","Enter reveal number",IF(OR(B38="Failed",B38="Abandoned"),IF(MAX($C$2:$C$38)&gt;C38,"No retry: newer card opened","Check card retry rule"),IF(B38="Succeeded","Completed","Work on this card"))))</x:f>
        <x:v>Not revealed</x:v>
      </x:c>
      <x:c r="F38" s="20" t="str">
        <x:v>Purple</x:v>
      </x:c>
      <x:c r="G38" s="20" t="str">
        <x:v>longwood</x:v>
      </x:c>
      <x:c r="H38" s="8"/>
      <x:c r="I38" s="8"/>
      <x:c r="J38" s="8"/>
    </x:row>
  </x:sheetData>
  <x:conditionalFormatting sqref="D2:D38">
    <x:cfRule type="expression" dxfId="24" priority="1">
      <x:formula>LEN(D2)&gt;0</x:formula>
    </x:cfRule>
  </x:conditionalFormatting>
  <x:conditionalFormatting sqref="B2:B38">
    <x:cfRule type="cellIs" dxfId="25" priority="2" operator="equal">
      <x:formula>"Active"</x:formula>
    </x:cfRule>
    <x:cfRule type="cellIs" dxfId="26" priority="3" operator="equal">
      <x:formula>"Failed"</x:formula>
    </x:cfRule>
    <x:cfRule type="cellIs" dxfId="27" priority="4" operator="equal">
      <x:formula>"Succeeded"</x:formula>
    </x:cfRule>
  </x:conditionalFormatting>
  <x:conditionalFormatting sqref="E2:E38">
    <x:cfRule type="containsText" dxfId="28" priority="5" operator="containsText" text="No retry"/>
  </x:conditionalFormatting>
  <x:conditionalFormatting sqref="I2:I2">
    <x:cfRule type="containsText" dxfId="29" priority="6" operator="containsText" text="WARNING"/>
  </x:conditionalFormatting>
  <x:dataValidations count="2">
    <x:dataValidation type="list" sqref="B2:B38">
      <x:formula1>"Not opened,Active,Succeeded,Failed,Abandoned"</x:formula1>
    </x:dataValidation>
    <x:dataValidation type="whole" operator="between" sqref="C2:C38">
      <x:formula1>1</x:formula1>
      <x:formula2>37</x:formula2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630000114440918" hidden="0" customWidth="1"/>
    <x:col min="2" max="2" width="30.6299991607666" hidden="0" customWidth="1"/>
    <x:col min="3" max="3" width="16.8799991607666" hidden="0" customWidth="1"/>
    <x:col min="4" max="4" width="15.630000114440918" hidden="0" customWidth="1"/>
    <x:col min="5" max="5" width="28.1299991607666" customWidth="1" hidden="1"/>
  </x:cols>
  <x:sheetData>
    <x:row r="1" ht="30" customHeight="1">
      <x:c r="A1" s="12" t="str">
        <x:v>Team</x:v>
      </x:c>
      <x:c r="B1" s="12" t="str">
        <x:v>Territory</x:v>
      </x:c>
      <x:c r="C1" s="12" t="str">
        <x:v>Status</x:v>
      </x:c>
      <x:c r="D1" s="12" t="str">
        <x:v>Reveal Order</x:v>
      </x:c>
      <x:c r="E1" s="19" t="str">
        <x:v>Territory ID</x:v>
      </x:c>
    </x:row>
    <x:row r="2" ht="24" customHeight="1">
      <x:c r="A2" s="8" t="str">
        <x:f>IF(Teams!C2="Yes",IF('Blue'!F2="","",'Blue'!F2),"")</x:f>
        <x:v>Blue</x:v>
      </x:c>
      <x:c r="B2" s="8" t="str">
        <x:f>IF(Teams!C2="Yes",IF('Blue'!A2="","",'Blue'!A2),"")</x:f>
        <x:v>Allston</x:v>
      </x:c>
      <x:c r="C2" s="8" t="str">
        <x:f>IF(Teams!C2="Yes",IF('Blue'!B2="","",'Blue'!B2),"")</x:f>
        <x:v>Not opened</x:v>
      </x:c>
      <x:c r="D2" s="18" t="str">
        <x:f>IF(Teams!C2="Yes",IF('Blue'!C2="","",'Blue'!C2),"")</x:f>
      </x:c>
      <x:c r="E2" s="20" t="str">
        <x:f>IF(Teams!C2="Yes",IF('Blue'!G2="","",'Blue'!G2),"")</x:f>
        <x:v>allston</x:v>
      </x:c>
    </x:row>
    <x:row r="3" ht="24" customHeight="1">
      <x:c r="A3" s="8" t="str">
        <x:f>IF(Teams!C2="Yes",IF('Blue'!F3="","",'Blue'!F3),"")</x:f>
        <x:v>Blue</x:v>
      </x:c>
      <x:c r="B3" s="8" t="str">
        <x:f>IF(Teams!C2="Yes",IF('Blue'!A3="","",'Blue'!A3),"")</x:f>
        <x:v>Back Bay</x:v>
      </x:c>
      <x:c r="C3" s="8" t="str">
        <x:f>IF(Teams!C2="Yes",IF('Blue'!B3="","",'Blue'!B3),"")</x:f>
        <x:v>Not opened</x:v>
      </x:c>
      <x:c r="D3" s="18" t="str">
        <x:f>IF(Teams!C2="Yes",IF('Blue'!C3="","",'Blue'!C3),"")</x:f>
      </x:c>
      <x:c r="E3" s="20" t="str">
        <x:f>IF(Teams!C2="Yes",IF('Blue'!G3="","",'Blue'!G3),"")</x:f>
        <x:v>back-bay</x:v>
      </x:c>
    </x:row>
    <x:row r="4" ht="24" customHeight="1">
      <x:c r="A4" s="8" t="str">
        <x:f>IF(Teams!C2="Yes",IF('Blue'!F4="","",'Blue'!F4),"")</x:f>
        <x:v>Blue</x:v>
      </x:c>
      <x:c r="B4" s="8" t="str">
        <x:f>IF(Teams!C2="Yes",IF('Blue'!A4="","",'Blue'!A4),"")</x:f>
        <x:v>Bay Village</x:v>
      </x:c>
      <x:c r="C4" s="8" t="str">
        <x:f>IF(Teams!C2="Yes",IF('Blue'!B4="","",'Blue'!B4),"")</x:f>
        <x:v>Not opened</x:v>
      </x:c>
      <x:c r="D4" s="18" t="str">
        <x:f>IF(Teams!C2="Yes",IF('Blue'!C4="","",'Blue'!C4),"")</x:f>
      </x:c>
      <x:c r="E4" s="20" t="str">
        <x:f>IF(Teams!C2="Yes",IF('Blue'!G4="","",'Blue'!G4),"")</x:f>
        <x:v>bay-village</x:v>
      </x:c>
    </x:row>
    <x:row r="5" ht="24" customHeight="1">
      <x:c r="A5" s="8" t="str">
        <x:f>IF(Teams!C2="Yes",IF('Blue'!F5="","",'Blue'!F5),"")</x:f>
        <x:v>Blue</x:v>
      </x:c>
      <x:c r="B5" s="8" t="str">
        <x:f>IF(Teams!C2="Yes",IF('Blue'!A5="","",'Blue'!A5),"")</x:f>
        <x:v>Beacon Hill</x:v>
      </x:c>
      <x:c r="C5" s="8" t="str">
        <x:f>IF(Teams!C2="Yes",IF('Blue'!B5="","",'Blue'!B5),"")</x:f>
        <x:v>Not opened</x:v>
      </x:c>
      <x:c r="D5" s="18" t="str">
        <x:f>IF(Teams!C2="Yes",IF('Blue'!C5="","",'Blue'!C5),"")</x:f>
      </x:c>
      <x:c r="E5" s="20" t="str">
        <x:f>IF(Teams!C2="Yes",IF('Blue'!G5="","",'Blue'!G5),"")</x:f>
        <x:v>beacon-hill</x:v>
      </x:c>
    </x:row>
    <x:row r="6" ht="24" customHeight="1">
      <x:c r="A6" s="8" t="str">
        <x:f>IF(Teams!C2="Yes",IF('Blue'!F6="","",'Blue'!F6),"")</x:f>
        <x:v>Blue</x:v>
      </x:c>
      <x:c r="B6" s="8" t="str">
        <x:f>IF(Teams!C2="Yes",IF('Blue'!A6="","",'Blue'!A6),"")</x:f>
        <x:v>Brighton</x:v>
      </x:c>
      <x:c r="C6" s="8" t="str">
        <x:f>IF(Teams!C2="Yes",IF('Blue'!B6="","",'Blue'!B6),"")</x:f>
        <x:v>Not opened</x:v>
      </x:c>
      <x:c r="D6" s="18" t="str">
        <x:f>IF(Teams!C2="Yes",IF('Blue'!C6="","",'Blue'!C6),"")</x:f>
      </x:c>
      <x:c r="E6" s="20" t="str">
        <x:f>IF(Teams!C2="Yes",IF('Blue'!G6="","",'Blue'!G6),"")</x:f>
        <x:v>brighton</x:v>
      </x:c>
    </x:row>
    <x:row r="7" ht="24" customHeight="1">
      <x:c r="A7" s="8" t="str">
        <x:f>IF(Teams!C2="Yes",IF('Blue'!F7="","",'Blue'!F7),"")</x:f>
        <x:v>Blue</x:v>
      </x:c>
      <x:c r="B7" s="8" t="str">
        <x:f>IF(Teams!C2="Yes",IF('Blue'!A7="","",'Blue'!A7),"")</x:f>
        <x:v>Charlestown</x:v>
      </x:c>
      <x:c r="C7" s="8" t="str">
        <x:f>IF(Teams!C2="Yes",IF('Blue'!B7="","",'Blue'!B7),"")</x:f>
        <x:v>Not opened</x:v>
      </x:c>
      <x:c r="D7" s="18" t="str">
        <x:f>IF(Teams!C2="Yes",IF('Blue'!C7="","",'Blue'!C7),"")</x:f>
      </x:c>
      <x:c r="E7" s="20" t="str">
        <x:f>IF(Teams!C2="Yes",IF('Blue'!G7="","",'Blue'!G7),"")</x:f>
        <x:v>charlestown</x:v>
      </x:c>
    </x:row>
    <x:row r="8" ht="24" customHeight="1">
      <x:c r="A8" s="8" t="str">
        <x:f>IF(Teams!C2="Yes",IF('Blue'!F8="","",'Blue'!F8),"")</x:f>
        <x:v>Blue</x:v>
      </x:c>
      <x:c r="B8" s="8" t="str">
        <x:f>IF(Teams!C2="Yes",IF('Blue'!A8="","",'Blue'!A8),"")</x:f>
        <x:v>Chinatown</x:v>
      </x:c>
      <x:c r="C8" s="8" t="str">
        <x:f>IF(Teams!C2="Yes",IF('Blue'!B8="","",'Blue'!B8),"")</x:f>
        <x:v>Not opened</x:v>
      </x:c>
      <x:c r="D8" s="18" t="str">
        <x:f>IF(Teams!C2="Yes",IF('Blue'!C8="","",'Blue'!C8),"")</x:f>
      </x:c>
      <x:c r="E8" s="20" t="str">
        <x:f>IF(Teams!C2="Yes",IF('Blue'!G8="","",'Blue'!G8),"")</x:f>
        <x:v>chinatown-leather-district</x:v>
      </x:c>
    </x:row>
    <x:row r="9" ht="24" customHeight="1">
      <x:c r="A9" s="8" t="str">
        <x:f>IF(Teams!C2="Yes",IF('Blue'!F9="","",'Blue'!F9),"")</x:f>
        <x:v>Blue</x:v>
      </x:c>
      <x:c r="B9" s="8" t="str">
        <x:f>IF(Teams!C2="Yes",IF('Blue'!A9="","",'Blue'!A9),"")</x:f>
        <x:v>Dorchester</x:v>
      </x:c>
      <x:c r="C9" s="8" t="str">
        <x:f>IF(Teams!C2="Yes",IF('Blue'!B9="","",'Blue'!B9),"")</x:f>
        <x:v>Not opened</x:v>
      </x:c>
      <x:c r="D9" s="18" t="str">
        <x:f>IF(Teams!C2="Yes",IF('Blue'!C9="","",'Blue'!C9),"")</x:f>
      </x:c>
      <x:c r="E9" s="20" t="str">
        <x:f>IF(Teams!C2="Yes",IF('Blue'!G9="","",'Blue'!G9),"")</x:f>
        <x:v>dorchester</x:v>
      </x:c>
    </x:row>
    <x:row r="10" ht="24" customHeight="1">
      <x:c r="A10" s="8" t="str">
        <x:f>IF(Teams!C2="Yes",IF('Blue'!F10="","",'Blue'!F10),"")</x:f>
        <x:v>Blue</x:v>
      </x:c>
      <x:c r="B10" s="8" t="str">
        <x:f>IF(Teams!C2="Yes",IF('Blue'!A10="","",'Blue'!A10),"")</x:f>
        <x:v>Downtown</x:v>
      </x:c>
      <x:c r="C10" s="8" t="str">
        <x:f>IF(Teams!C2="Yes",IF('Blue'!B10="","",'Blue'!B10),"")</x:f>
        <x:v>Not opened</x:v>
      </x:c>
      <x:c r="D10" s="18" t="str">
        <x:f>IF(Teams!C2="Yes",IF('Blue'!C10="","",'Blue'!C10),"")</x:f>
      </x:c>
      <x:c r="E10" s="20" t="str">
        <x:f>IF(Teams!C2="Yes",IF('Blue'!G10="","",'Blue'!G10),"")</x:f>
        <x:v>downtown</x:v>
      </x:c>
    </x:row>
    <x:row r="11" ht="24" customHeight="1">
      <x:c r="A11" s="8" t="str">
        <x:f>IF(Teams!C2="Yes",IF('Blue'!F11="","",'Blue'!F11),"")</x:f>
        <x:v>Blue</x:v>
      </x:c>
      <x:c r="B11" s="8" t="str">
        <x:f>IF(Teams!C2="Yes",IF('Blue'!A11="","",'Blue'!A11),"")</x:f>
        <x:v>East Boston</x:v>
      </x:c>
      <x:c r="C11" s="8" t="str">
        <x:f>IF(Teams!C2="Yes",IF('Blue'!B11="","",'Blue'!B11),"")</x:f>
        <x:v>Not opened</x:v>
      </x:c>
      <x:c r="D11" s="18" t="str">
        <x:f>IF(Teams!C2="Yes",IF('Blue'!C11="","",'Blue'!C11),"")</x:f>
      </x:c>
      <x:c r="E11" s="20" t="str">
        <x:f>IF(Teams!C2="Yes",IF('Blue'!G11="","",'Blue'!G11),"")</x:f>
        <x:v>east-boston</x:v>
      </x:c>
    </x:row>
    <x:row r="12" ht="24" customHeight="1">
      <x:c r="A12" s="8" t="str">
        <x:f>IF(Teams!C2="Yes",IF('Blue'!F12="","",'Blue'!F12),"")</x:f>
        <x:v>Blue</x:v>
      </x:c>
      <x:c r="B12" s="8" t="str">
        <x:f>IF(Teams!C2="Yes",IF('Blue'!A12="","",'Blue'!A12),"")</x:f>
        <x:v>Fenway–Kenmore</x:v>
      </x:c>
      <x:c r="C12" s="8" t="str">
        <x:f>IF(Teams!C2="Yes",IF('Blue'!B12="","",'Blue'!B12),"")</x:f>
        <x:v>Not opened</x:v>
      </x:c>
      <x:c r="D12" s="18" t="str">
        <x:f>IF(Teams!C2="Yes",IF('Blue'!C12="","",'Blue'!C12),"")</x:f>
      </x:c>
      <x:c r="E12" s="20" t="str">
        <x:f>IF(Teams!C2="Yes",IF('Blue'!G12="","",'Blue'!G12),"")</x:f>
        <x:v>fenway-kenmore</x:v>
      </x:c>
    </x:row>
    <x:row r="13" ht="24" customHeight="1">
      <x:c r="A13" s="8" t="str">
        <x:f>IF(Teams!C2="Yes",IF('Blue'!F13="","",'Blue'!F13),"")</x:f>
        <x:v>Blue</x:v>
      </x:c>
      <x:c r="B13" s="8" t="str">
        <x:f>IF(Teams!C2="Yes",IF('Blue'!A13="","",'Blue'!A13),"")</x:f>
        <x:v>Hyde Park</x:v>
      </x:c>
      <x:c r="C13" s="8" t="str">
        <x:f>IF(Teams!C2="Yes",IF('Blue'!B13="","",'Blue'!B13),"")</x:f>
        <x:v>Not opened</x:v>
      </x:c>
      <x:c r="D13" s="18" t="str">
        <x:f>IF(Teams!C2="Yes",IF('Blue'!C13="","",'Blue'!C13),"")</x:f>
      </x:c>
      <x:c r="E13" s="20" t="str">
        <x:f>IF(Teams!C2="Yes",IF('Blue'!G13="","",'Blue'!G13),"")</x:f>
        <x:v>hyde-park</x:v>
      </x:c>
    </x:row>
    <x:row r="14" ht="24" customHeight="1">
      <x:c r="A14" s="8" t="str">
        <x:f>IF(Teams!C2="Yes",IF('Blue'!F14="","",'Blue'!F14),"")</x:f>
        <x:v>Blue</x:v>
      </x:c>
      <x:c r="B14" s="8" t="str">
        <x:f>IF(Teams!C2="Yes",IF('Blue'!A14="","",'Blue'!A14),"")</x:f>
        <x:v>Jamaica Plain</x:v>
      </x:c>
      <x:c r="C14" s="8" t="str">
        <x:f>IF(Teams!C2="Yes",IF('Blue'!B14="","",'Blue'!B14),"")</x:f>
        <x:v>Not opened</x:v>
      </x:c>
      <x:c r="D14" s="18" t="str">
        <x:f>IF(Teams!C2="Yes",IF('Blue'!C14="","",'Blue'!C14),"")</x:f>
      </x:c>
      <x:c r="E14" s="20" t="str">
        <x:f>IF(Teams!C2="Yes",IF('Blue'!G14="","",'Blue'!G14),"")</x:f>
        <x:v>jamaica-plain</x:v>
      </x:c>
    </x:row>
    <x:row r="15" ht="24" customHeight="1">
      <x:c r="A15" s="8" t="str">
        <x:f>IF(Teams!C2="Yes",IF('Blue'!F15="","",'Blue'!F15),"")</x:f>
        <x:v>Blue</x:v>
      </x:c>
      <x:c r="B15" s="8" t="str">
        <x:f>IF(Teams!C2="Yes",IF('Blue'!A15="","",'Blue'!A15),"")</x:f>
        <x:v>Mattapan</x:v>
      </x:c>
      <x:c r="C15" s="8" t="str">
        <x:f>IF(Teams!C2="Yes",IF('Blue'!B15="","",'Blue'!B15),"")</x:f>
        <x:v>Not opened</x:v>
      </x:c>
      <x:c r="D15" s="18" t="str">
        <x:f>IF(Teams!C2="Yes",IF('Blue'!C15="","",'Blue'!C15),"")</x:f>
      </x:c>
      <x:c r="E15" s="20" t="str">
        <x:f>IF(Teams!C2="Yes",IF('Blue'!G15="","",'Blue'!G15),"")</x:f>
        <x:v>mattapan</x:v>
      </x:c>
    </x:row>
    <x:row r="16" ht="24" customHeight="1">
      <x:c r="A16" s="8" t="str">
        <x:f>IF(Teams!C2="Yes",IF('Blue'!F16="","",'Blue'!F16),"")</x:f>
        <x:v>Blue</x:v>
      </x:c>
      <x:c r="B16" s="8" t="str">
        <x:f>IF(Teams!C2="Yes",IF('Blue'!A16="","",'Blue'!A16),"")</x:f>
        <x:v>Mission Hill</x:v>
      </x:c>
      <x:c r="C16" s="8" t="str">
        <x:f>IF(Teams!C2="Yes",IF('Blue'!B16="","",'Blue'!B16),"")</x:f>
        <x:v>Not opened</x:v>
      </x:c>
      <x:c r="D16" s="18" t="str">
        <x:f>IF(Teams!C2="Yes",IF('Blue'!C16="","",'Blue'!C16),"")</x:f>
      </x:c>
      <x:c r="E16" s="20" t="str">
        <x:f>IF(Teams!C2="Yes",IF('Blue'!G16="","",'Blue'!G16),"")</x:f>
        <x:v>mission-hill</x:v>
      </x:c>
    </x:row>
    <x:row r="17" ht="24" customHeight="1">
      <x:c r="A17" s="8" t="str">
        <x:f>IF(Teams!C2="Yes",IF('Blue'!F17="","",'Blue'!F17),"")</x:f>
        <x:v>Blue</x:v>
      </x:c>
      <x:c r="B17" s="8" t="str">
        <x:f>IF(Teams!C2="Yes",IF('Blue'!A17="","",'Blue'!A17),"")</x:f>
        <x:v>North End</x:v>
      </x:c>
      <x:c r="C17" s="8" t="str">
        <x:f>IF(Teams!C2="Yes",IF('Blue'!B17="","",'Blue'!B17),"")</x:f>
        <x:v>Not opened</x:v>
      </x:c>
      <x:c r="D17" s="18" t="str">
        <x:f>IF(Teams!C2="Yes",IF('Blue'!C17="","",'Blue'!C17),"")</x:f>
      </x:c>
      <x:c r="E17" s="20" t="str">
        <x:f>IF(Teams!C2="Yes",IF('Blue'!G17="","",'Blue'!G17),"")</x:f>
        <x:v>north-end</x:v>
      </x:c>
    </x:row>
    <x:row r="18" ht="24" customHeight="1">
      <x:c r="A18" s="8" t="str">
        <x:f>IF(Teams!C2="Yes",IF('Blue'!F18="","",'Blue'!F18),"")</x:f>
        <x:v>Blue</x:v>
      </x:c>
      <x:c r="B18" s="8" t="str">
        <x:f>IF(Teams!C2="Yes",IF('Blue'!A18="","",'Blue'!A18),"")</x:f>
        <x:v>Roslindale</x:v>
      </x:c>
      <x:c r="C18" s="8" t="str">
        <x:f>IF(Teams!C2="Yes",IF('Blue'!B18="","",'Blue'!B18),"")</x:f>
        <x:v>Not opened</x:v>
      </x:c>
      <x:c r="D18" s="18" t="str">
        <x:f>IF(Teams!C2="Yes",IF('Blue'!C18="","",'Blue'!C18),"")</x:f>
      </x:c>
      <x:c r="E18" s="20" t="str">
        <x:f>IF(Teams!C2="Yes",IF('Blue'!G18="","",'Blue'!G18),"")</x:f>
        <x:v>roslindale</x:v>
      </x:c>
    </x:row>
    <x:row r="19" ht="24" customHeight="1">
      <x:c r="A19" s="8" t="str">
        <x:f>IF(Teams!C2="Yes",IF('Blue'!F19="","",'Blue'!F19),"")</x:f>
        <x:v>Blue</x:v>
      </x:c>
      <x:c r="B19" s="8" t="str">
        <x:f>IF(Teams!C2="Yes",IF('Blue'!A19="","",'Blue'!A19),"")</x:f>
        <x:v>Roxbury</x:v>
      </x:c>
      <x:c r="C19" s="8" t="str">
        <x:f>IF(Teams!C2="Yes",IF('Blue'!B19="","",'Blue'!B19),"")</x:f>
        <x:v>Not opened</x:v>
      </x:c>
      <x:c r="D19" s="18" t="str">
        <x:f>IF(Teams!C2="Yes",IF('Blue'!C19="","",'Blue'!C19),"")</x:f>
      </x:c>
      <x:c r="E19" s="20" t="str">
        <x:f>IF(Teams!C2="Yes",IF('Blue'!G19="","",'Blue'!G19),"")</x:f>
        <x:v>roxbury</x:v>
      </x:c>
    </x:row>
    <x:row r="20" ht="24" customHeight="1">
      <x:c r="A20" s="8" t="str">
        <x:f>IF(Teams!C2="Yes",IF('Blue'!F20="","",'Blue'!F20),"")</x:f>
        <x:v>Blue</x:v>
      </x:c>
      <x:c r="B20" s="8" t="str">
        <x:f>IF(Teams!C2="Yes",IF('Blue'!A20="","",'Blue'!A20),"")</x:f>
        <x:v>South Boston</x:v>
      </x:c>
      <x:c r="C20" s="8" t="str">
        <x:f>IF(Teams!C2="Yes",IF('Blue'!B20="","",'Blue'!B20),"")</x:f>
        <x:v>Not opened</x:v>
      </x:c>
      <x:c r="D20" s="18" t="str">
        <x:f>IF(Teams!C2="Yes",IF('Blue'!C20="","",'Blue'!C20),"")</x:f>
      </x:c>
      <x:c r="E20" s="20" t="str">
        <x:f>IF(Teams!C2="Yes",IF('Blue'!G20="","",'Blue'!G20),"")</x:f>
        <x:v>south-boston</x:v>
      </x:c>
    </x:row>
    <x:row r="21" ht="24" customHeight="1">
      <x:c r="A21" s="8" t="str">
        <x:f>IF(Teams!C2="Yes",IF('Blue'!F21="","",'Blue'!F21),"")</x:f>
        <x:v>Blue</x:v>
      </x:c>
      <x:c r="B21" s="8" t="str">
        <x:f>IF(Teams!C2="Yes",IF('Blue'!A21="","",'Blue'!A21),"")</x:f>
        <x:v>South End</x:v>
      </x:c>
      <x:c r="C21" s="8" t="str">
        <x:f>IF(Teams!C2="Yes",IF('Blue'!B21="","",'Blue'!B21),"")</x:f>
        <x:v>Not opened</x:v>
      </x:c>
      <x:c r="D21" s="18" t="str">
        <x:f>IF(Teams!C2="Yes",IF('Blue'!C21="","",'Blue'!C21),"")</x:f>
      </x:c>
      <x:c r="E21" s="20" t="str">
        <x:f>IF(Teams!C2="Yes",IF('Blue'!G21="","",'Blue'!G21),"")</x:f>
        <x:v>south-end</x:v>
      </x:c>
    </x:row>
    <x:row r="22" ht="24" customHeight="1">
      <x:c r="A22" s="8" t="str">
        <x:f>IF(Teams!C2="Yes",IF('Blue'!F22="","",'Blue'!F22),"")</x:f>
        <x:v>Blue</x:v>
      </x:c>
      <x:c r="B22" s="8" t="str">
        <x:f>IF(Teams!C2="Yes",IF('Blue'!A22="","",'Blue'!A22),"")</x:f>
        <x:v>West End</x:v>
      </x:c>
      <x:c r="C22" s="8" t="str">
        <x:f>IF(Teams!C2="Yes",IF('Blue'!B22="","",'Blue'!B22),"")</x:f>
        <x:v>Not opened</x:v>
      </x:c>
      <x:c r="D22" s="18" t="str">
        <x:f>IF(Teams!C2="Yes",IF('Blue'!C22="","",'Blue'!C22),"")</x:f>
      </x:c>
      <x:c r="E22" s="20" t="str">
        <x:f>IF(Teams!C2="Yes",IF('Blue'!G22="","",'Blue'!G22),"")</x:f>
        <x:v>west-end</x:v>
      </x:c>
    </x:row>
    <x:row r="23" ht="24" customHeight="1">
      <x:c r="A23" s="8" t="str">
        <x:f>IF(Teams!C2="Yes",IF('Blue'!F23="","",'Blue'!F23),"")</x:f>
        <x:v>Blue</x:v>
      </x:c>
      <x:c r="B23" s="8" t="str">
        <x:f>IF(Teams!C2="Yes",IF('Blue'!A23="","",'Blue'!A23),"")</x:f>
        <x:v>West Roxbury</x:v>
      </x:c>
      <x:c r="C23" s="8" t="str">
        <x:f>IF(Teams!C2="Yes",IF('Blue'!B23="","",'Blue'!B23),"")</x:f>
        <x:v>Not opened</x:v>
      </x:c>
      <x:c r="D23" s="18" t="str">
        <x:f>IF(Teams!C2="Yes",IF('Blue'!C23="","",'Blue'!C23),"")</x:f>
      </x:c>
      <x:c r="E23" s="20" t="str">
        <x:f>IF(Teams!C2="Yes",IF('Blue'!G23="","",'Blue'!G23),"")</x:f>
        <x:v>west-roxbury</x:v>
      </x:c>
    </x:row>
    <x:row r="24" ht="24" customHeight="1">
      <x:c r="A24" s="8" t="str">
        <x:f>IF(Teams!C2="Yes",IF('Blue'!F24="","",'Blue'!F24),"")</x:f>
        <x:v>Blue</x:v>
      </x:c>
      <x:c r="B24" s="8" t="str">
        <x:f>IF(Teams!C2="Yes",IF('Blue'!A24="","",'Blue'!A24),"")</x:f>
        <x:v>Seaport</x:v>
      </x:c>
      <x:c r="C24" s="8" t="str">
        <x:f>IF(Teams!C2="Yes",IF('Blue'!B24="","",'Blue'!B24),"")</x:f>
        <x:v>Not opened</x:v>
      </x:c>
      <x:c r="D24" s="18" t="str">
        <x:f>IF(Teams!C2="Yes",IF('Blue'!C24="","",'Blue'!C24),"")</x:f>
      </x:c>
      <x:c r="E24" s="20" t="str">
        <x:f>IF(Teams!C2="Yes",IF('Blue'!G24="","",'Blue'!G24),"")</x:f>
        <x:v>seaport</x:v>
      </x:c>
    </x:row>
    <x:row r="25" ht="24" customHeight="1">
      <x:c r="A25" s="8" t="str">
        <x:f>IF(Teams!C2="Yes",IF('Blue'!F25="","",'Blue'!F25),"")</x:f>
        <x:v>Blue</x:v>
      </x:c>
      <x:c r="B25" s="8" t="str">
        <x:f>IF(Teams!C2="Yes",IF('Blue'!A25="","",'Blue'!A25),"")</x:f>
        <x:v>Cambridge</x:v>
      </x:c>
      <x:c r="C25" s="8" t="str">
        <x:f>IF(Teams!C2="Yes",IF('Blue'!B25="","",'Blue'!B25),"")</x:f>
        <x:v>Not opened</x:v>
      </x:c>
      <x:c r="D25" s="18" t="str">
        <x:f>IF(Teams!C2="Yes",IF('Blue'!C25="","",'Blue'!C25),"")</x:f>
      </x:c>
      <x:c r="E25" s="20" t="str">
        <x:f>IF(Teams!C2="Yes",IF('Blue'!G25="","",'Blue'!G25),"")</x:f>
        <x:v>cambridge</x:v>
      </x:c>
    </x:row>
    <x:row r="26" ht="24" customHeight="1">
      <x:c r="A26" s="8" t="str">
        <x:f>IF(Teams!C2="Yes",IF('Blue'!F26="","",'Blue'!F26),"")</x:f>
        <x:v>Blue</x:v>
      </x:c>
      <x:c r="B26" s="8" t="str">
        <x:f>IF(Teams!C2="Yes",IF('Blue'!A26="","",'Blue'!A26),"")</x:f>
        <x:v>Somerville</x:v>
      </x:c>
      <x:c r="C26" s="8" t="str">
        <x:f>IF(Teams!C2="Yes",IF('Blue'!B26="","",'Blue'!B26),"")</x:f>
        <x:v>Not opened</x:v>
      </x:c>
      <x:c r="D26" s="18" t="str">
        <x:f>IF(Teams!C2="Yes",IF('Blue'!C26="","",'Blue'!C26),"")</x:f>
      </x:c>
      <x:c r="E26" s="20" t="str">
        <x:f>IF(Teams!C2="Yes",IF('Blue'!G26="","",'Blue'!G26),"")</x:f>
        <x:v>somerville</x:v>
      </x:c>
    </x:row>
    <x:row r="27" ht="24" customHeight="1">
      <x:c r="A27" s="8" t="str">
        <x:f>IF(Teams!C2="Yes",IF('Blue'!F27="","",'Blue'!F27),"")</x:f>
        <x:v>Blue</x:v>
      </x:c>
      <x:c r="B27" s="8" t="str">
        <x:f>IF(Teams!C2="Yes",IF('Blue'!A27="","",'Blue'!A27),"")</x:f>
        <x:v>Everett</x:v>
      </x:c>
      <x:c r="C27" s="8" t="str">
        <x:f>IF(Teams!C2="Yes",IF('Blue'!B27="","",'Blue'!B27),"")</x:f>
        <x:v>Not opened</x:v>
      </x:c>
      <x:c r="D27" s="18" t="str">
        <x:f>IF(Teams!C2="Yes",IF('Blue'!C27="","",'Blue'!C27),"")</x:f>
      </x:c>
      <x:c r="E27" s="20" t="str">
        <x:f>IF(Teams!C2="Yes",IF('Blue'!G27="","",'Blue'!G27),"")</x:f>
        <x:v>everett</x:v>
      </x:c>
    </x:row>
    <x:row r="28" ht="24" customHeight="1">
      <x:c r="A28" s="8" t="str">
        <x:f>IF(Teams!C2="Yes",IF('Blue'!F28="","",'Blue'!F28),"")</x:f>
        <x:v>Blue</x:v>
      </x:c>
      <x:c r="B28" s="8" t="str">
        <x:f>IF(Teams!C2="Yes",IF('Blue'!A28="","",'Blue'!A28),"")</x:f>
        <x:v>Chelsea</x:v>
      </x:c>
      <x:c r="C28" s="8" t="str">
        <x:f>IF(Teams!C2="Yes",IF('Blue'!B28="","",'Blue'!B28),"")</x:f>
        <x:v>Not opened</x:v>
      </x:c>
      <x:c r="D28" s="18" t="str">
        <x:f>IF(Teams!C2="Yes",IF('Blue'!C28="","",'Blue'!C28),"")</x:f>
      </x:c>
      <x:c r="E28" s="20" t="str">
        <x:f>IF(Teams!C2="Yes",IF('Blue'!G28="","",'Blue'!G28),"")</x:f>
        <x:v>chelsea</x:v>
      </x:c>
    </x:row>
    <x:row r="29" ht="24" customHeight="1">
      <x:c r="A29" s="8" t="str">
        <x:f>IF(Teams!C2="Yes",IF('Blue'!F29="","",'Blue'!F29),"")</x:f>
        <x:v>Blue</x:v>
      </x:c>
      <x:c r="B29" s="8" t="str">
        <x:f>IF(Teams!C2="Yes",IF('Blue'!A29="","",'Blue'!A29),"")</x:f>
        <x:v>Revere</x:v>
      </x:c>
      <x:c r="C29" s="8" t="str">
        <x:f>IF(Teams!C2="Yes",IF('Blue'!B29="","",'Blue'!B29),"")</x:f>
        <x:v>Not opened</x:v>
      </x:c>
      <x:c r="D29" s="18" t="str">
        <x:f>IF(Teams!C2="Yes",IF('Blue'!C29="","",'Blue'!C29),"")</x:f>
      </x:c>
      <x:c r="E29" s="20" t="str">
        <x:f>IF(Teams!C2="Yes",IF('Blue'!G29="","",'Blue'!G29),"")</x:f>
        <x:v>revere</x:v>
      </x:c>
    </x:row>
    <x:row r="30" ht="24" customHeight="1">
      <x:c r="A30" s="8" t="str">
        <x:f>IF(Teams!C2="Yes",IF('Blue'!F30="","",'Blue'!F30),"")</x:f>
        <x:v>Blue</x:v>
      </x:c>
      <x:c r="B30" s="8" t="str">
        <x:f>IF(Teams!C2="Yes",IF('Blue'!A30="","",'Blue'!A30),"")</x:f>
        <x:v>Malden</x:v>
      </x:c>
      <x:c r="C30" s="8" t="str">
        <x:f>IF(Teams!C2="Yes",IF('Blue'!B30="","",'Blue'!B30),"")</x:f>
        <x:v>Not opened</x:v>
      </x:c>
      <x:c r="D30" s="18" t="str">
        <x:f>IF(Teams!C2="Yes",IF('Blue'!C30="","",'Blue'!C30),"")</x:f>
      </x:c>
      <x:c r="E30" s="20" t="str">
        <x:f>IF(Teams!C2="Yes",IF('Blue'!G30="","",'Blue'!G30),"")</x:f>
        <x:v>malden</x:v>
      </x:c>
    </x:row>
    <x:row r="31" ht="24" customHeight="1">
      <x:c r="A31" s="8" t="str">
        <x:f>IF(Teams!C2="Yes",IF('Blue'!F31="","",'Blue'!F31),"")</x:f>
        <x:v>Blue</x:v>
      </x:c>
      <x:c r="B31" s="8" t="str">
        <x:f>IF(Teams!C2="Yes",IF('Blue'!A31="","",'Blue'!A31),"")</x:f>
        <x:v>Medford</x:v>
      </x:c>
      <x:c r="C31" s="8" t="str">
        <x:f>IF(Teams!C2="Yes",IF('Blue'!B31="","",'Blue'!B31),"")</x:f>
        <x:v>Not opened</x:v>
      </x:c>
      <x:c r="D31" s="18" t="str">
        <x:f>IF(Teams!C2="Yes",IF('Blue'!C31="","",'Blue'!C31),"")</x:f>
      </x:c>
      <x:c r="E31" s="20" t="str">
        <x:f>IF(Teams!C2="Yes",IF('Blue'!G31="","",'Blue'!G31),"")</x:f>
        <x:v>medford</x:v>
      </x:c>
    </x:row>
    <x:row r="32" ht="24" customHeight="1">
      <x:c r="A32" s="8" t="str">
        <x:f>IF(Teams!C2="Yes",IF('Blue'!F32="","",'Blue'!F32),"")</x:f>
        <x:v>Blue</x:v>
      </x:c>
      <x:c r="B32" s="8" t="str">
        <x:f>IF(Teams!C2="Yes",IF('Blue'!A32="","",'Blue'!A32),"")</x:f>
        <x:v>Brookline</x:v>
      </x:c>
      <x:c r="C32" s="8" t="str">
        <x:f>IF(Teams!C2="Yes",IF('Blue'!B32="","",'Blue'!B32),"")</x:f>
        <x:v>Not opened</x:v>
      </x:c>
      <x:c r="D32" s="18" t="str">
        <x:f>IF(Teams!C2="Yes",IF('Blue'!C32="","",'Blue'!C32),"")</x:f>
      </x:c>
      <x:c r="E32" s="20" t="str">
        <x:f>IF(Teams!C2="Yes",IF('Blue'!G32="","",'Blue'!G32),"")</x:f>
        <x:v>brookline</x:v>
      </x:c>
    </x:row>
    <x:row r="33" ht="24" customHeight="1">
      <x:c r="A33" s="8" t="str">
        <x:f>IF(Teams!C2="Yes",IF('Blue'!F33="","",'Blue'!F33),"")</x:f>
        <x:v>Blue</x:v>
      </x:c>
      <x:c r="B33" s="8" t="str">
        <x:f>IF(Teams!C2="Yes",IF('Blue'!A33="","",'Blue'!A33),"")</x:f>
        <x:v>Newton</x:v>
      </x:c>
      <x:c r="C33" s="8" t="str">
        <x:f>IF(Teams!C2="Yes",IF('Blue'!B33="","",'Blue'!B33),"")</x:f>
        <x:v>Not opened</x:v>
      </x:c>
      <x:c r="D33" s="18" t="str">
        <x:f>IF(Teams!C2="Yes",IF('Blue'!C33="","",'Blue'!C33),"")</x:f>
      </x:c>
      <x:c r="E33" s="20" t="str">
        <x:f>IF(Teams!C2="Yes",IF('Blue'!G33="","",'Blue'!G33),"")</x:f>
        <x:v>newton</x:v>
      </x:c>
    </x:row>
    <x:row r="34" ht="24" customHeight="1">
      <x:c r="A34" s="8" t="str">
        <x:f>IF(Teams!C2="Yes",IF('Blue'!F34="","",'Blue'!F34),"")</x:f>
        <x:v>Blue</x:v>
      </x:c>
      <x:c r="B34" s="8" t="str">
        <x:f>IF(Teams!C2="Yes",IF('Blue'!A34="","",'Blue'!A34),"")</x:f>
        <x:v>Quincy</x:v>
      </x:c>
      <x:c r="C34" s="8" t="str">
        <x:f>IF(Teams!C2="Yes",IF('Blue'!B34="","",'Blue'!B34),"")</x:f>
        <x:v>Not opened</x:v>
      </x:c>
      <x:c r="D34" s="18" t="str">
        <x:f>IF(Teams!C2="Yes",IF('Blue'!C34="","",'Blue'!C34),"")</x:f>
      </x:c>
      <x:c r="E34" s="20" t="str">
        <x:f>IF(Teams!C2="Yes",IF('Blue'!G34="","",'Blue'!G34),"")</x:f>
        <x:v>quincy</x:v>
      </x:c>
    </x:row>
    <x:row r="35" ht="24" customHeight="1">
      <x:c r="A35" s="8" t="str">
        <x:f>IF(Teams!C2="Yes",IF('Blue'!F35="","",'Blue'!F35),"")</x:f>
        <x:v>Blue</x:v>
      </x:c>
      <x:c r="B35" s="8" t="str">
        <x:f>IF(Teams!C2="Yes",IF('Blue'!A35="","",'Blue'!A35),"")</x:f>
        <x:v>Braintree</x:v>
      </x:c>
      <x:c r="C35" s="8" t="str">
        <x:f>IF(Teams!C2="Yes",IF('Blue'!B35="","",'Blue'!B35),"")</x:f>
        <x:v>Not opened</x:v>
      </x:c>
      <x:c r="D35" s="18" t="str">
        <x:f>IF(Teams!C2="Yes",IF('Blue'!C35="","",'Blue'!C35),"")</x:f>
      </x:c>
      <x:c r="E35" s="20" t="str">
        <x:f>IF(Teams!C2="Yes",IF('Blue'!G35="","",'Blue'!G35),"")</x:f>
        <x:v>braintree</x:v>
      </x:c>
    </x:row>
    <x:row r="36" ht="24" customHeight="1">
      <x:c r="A36" s="8" t="str">
        <x:f>IF(Teams!C2="Yes",IF('Blue'!F36="","",'Blue'!F36),"")</x:f>
        <x:v>Blue</x:v>
      </x:c>
      <x:c r="B36" s="8" t="str">
        <x:f>IF(Teams!C2="Yes",IF('Blue'!A36="","",'Blue'!A36),"")</x:f>
        <x:v>Winthrop</x:v>
      </x:c>
      <x:c r="C36" s="8" t="str">
        <x:f>IF(Teams!C2="Yes",IF('Blue'!B36="","",'Blue'!B36),"")</x:f>
        <x:v>Not opened</x:v>
      </x:c>
      <x:c r="D36" s="18" t="str">
        <x:f>IF(Teams!C2="Yes",IF('Blue'!C36="","",'Blue'!C36),"")</x:f>
      </x:c>
      <x:c r="E36" s="20" t="str">
        <x:f>IF(Teams!C2="Yes",IF('Blue'!G36="","",'Blue'!G36),"")</x:f>
        <x:v>winthrop</x:v>
      </x:c>
    </x:row>
    <x:row r="37" ht="24" customHeight="1">
      <x:c r="A37" s="8" t="str">
        <x:f>IF(Teams!C2="Yes",IF('Blue'!F37="","",'Blue'!F37),"")</x:f>
        <x:v>Blue</x:v>
      </x:c>
      <x:c r="B37" s="8" t="str">
        <x:f>IF(Teams!C2="Yes",IF('Blue'!A37="","",'Blue'!A37),"")</x:f>
        <x:v>Milton</x:v>
      </x:c>
      <x:c r="C37" s="8" t="str">
        <x:f>IF(Teams!C2="Yes",IF('Blue'!B37="","",'Blue'!B37),"")</x:f>
        <x:v>Not opened</x:v>
      </x:c>
      <x:c r="D37" s="18" t="str">
        <x:f>IF(Teams!C2="Yes",IF('Blue'!C37="","",'Blue'!C37),"")</x:f>
      </x:c>
      <x:c r="E37" s="20" t="str">
        <x:f>IF(Teams!C2="Yes",IF('Blue'!G37="","",'Blue'!G37),"")</x:f>
        <x:v>milton</x:v>
      </x:c>
    </x:row>
    <x:row r="38" ht="24" customHeight="1">
      <x:c r="A38" s="8" t="str">
        <x:f>IF(Teams!C2="Yes",IF('Blue'!F38="","",'Blue'!F38),"")</x:f>
        <x:v>Blue</x:v>
      </x:c>
      <x:c r="B38" s="8" t="str">
        <x:f>IF(Teams!C2="Yes",IF('Blue'!A38="","",'Blue'!A38),"")</x:f>
        <x:v>Longwood</x:v>
      </x:c>
      <x:c r="C38" s="8" t="str">
        <x:f>IF(Teams!C2="Yes",IF('Blue'!B38="","",'Blue'!B38),"")</x:f>
        <x:v>Not opened</x:v>
      </x:c>
      <x:c r="D38" s="18" t="str">
        <x:f>IF(Teams!C2="Yes",IF('Blue'!C38="","",'Blue'!C38),"")</x:f>
      </x:c>
      <x:c r="E38" s="20" t="str">
        <x:f>IF(Teams!C2="Yes",IF('Blue'!G38="","",'Blue'!G38),"")</x:f>
        <x:v>longwood</x:v>
      </x:c>
    </x:row>
    <x:row r="39" ht="24" customHeight="1">
      <x:c r="A39" s="8" t="str">
        <x:f>IF(Teams!C3="Yes",IF('Red'!F2="","",'Red'!F2),"")</x:f>
        <x:v>Red</x:v>
      </x:c>
      <x:c r="B39" s="8" t="str">
        <x:f>IF(Teams!C3="Yes",IF('Red'!A2="","",'Red'!A2),"")</x:f>
        <x:v>Allston</x:v>
      </x:c>
      <x:c r="C39" s="8" t="str">
        <x:f>IF(Teams!C3="Yes",IF('Red'!B2="","",'Red'!B2),"")</x:f>
        <x:v>Not opened</x:v>
      </x:c>
      <x:c r="D39" s="18" t="str">
        <x:f>IF(Teams!C3="Yes",IF('Red'!C2="","",'Red'!C2),"")</x:f>
      </x:c>
      <x:c r="E39" s="20" t="str">
        <x:f>IF(Teams!C3="Yes",IF('Red'!G2="","",'Red'!G2),"")</x:f>
        <x:v>allston</x:v>
      </x:c>
    </x:row>
    <x:row r="40" ht="24" customHeight="1">
      <x:c r="A40" s="8" t="str">
        <x:f>IF(Teams!C3="Yes",IF('Red'!F3="","",'Red'!F3),"")</x:f>
        <x:v>Red</x:v>
      </x:c>
      <x:c r="B40" s="8" t="str">
        <x:f>IF(Teams!C3="Yes",IF('Red'!A3="","",'Red'!A3),"")</x:f>
        <x:v>Back Bay</x:v>
      </x:c>
      <x:c r="C40" s="8" t="str">
        <x:f>IF(Teams!C3="Yes",IF('Red'!B3="","",'Red'!B3),"")</x:f>
        <x:v>Not opened</x:v>
      </x:c>
      <x:c r="D40" s="18" t="str">
        <x:f>IF(Teams!C3="Yes",IF('Red'!C3="","",'Red'!C3),"")</x:f>
      </x:c>
      <x:c r="E40" s="20" t="str">
        <x:f>IF(Teams!C3="Yes",IF('Red'!G3="","",'Red'!G3),"")</x:f>
        <x:v>back-bay</x:v>
      </x:c>
    </x:row>
    <x:row r="41" ht="24" customHeight="1">
      <x:c r="A41" s="8" t="str">
        <x:f>IF(Teams!C3="Yes",IF('Red'!F4="","",'Red'!F4),"")</x:f>
        <x:v>Red</x:v>
      </x:c>
      <x:c r="B41" s="8" t="str">
        <x:f>IF(Teams!C3="Yes",IF('Red'!A4="","",'Red'!A4),"")</x:f>
        <x:v>Bay Village</x:v>
      </x:c>
      <x:c r="C41" s="8" t="str">
        <x:f>IF(Teams!C3="Yes",IF('Red'!B4="","",'Red'!B4),"")</x:f>
        <x:v>Not opened</x:v>
      </x:c>
      <x:c r="D41" s="18" t="str">
        <x:f>IF(Teams!C3="Yes",IF('Red'!C4="","",'Red'!C4),"")</x:f>
      </x:c>
      <x:c r="E41" s="20" t="str">
        <x:f>IF(Teams!C3="Yes",IF('Red'!G4="","",'Red'!G4),"")</x:f>
        <x:v>bay-village</x:v>
      </x:c>
    </x:row>
    <x:row r="42" ht="24" customHeight="1">
      <x:c r="A42" s="8" t="str">
        <x:f>IF(Teams!C3="Yes",IF('Red'!F5="","",'Red'!F5),"")</x:f>
        <x:v>Red</x:v>
      </x:c>
      <x:c r="B42" s="8" t="str">
        <x:f>IF(Teams!C3="Yes",IF('Red'!A5="","",'Red'!A5),"")</x:f>
        <x:v>Beacon Hill</x:v>
      </x:c>
      <x:c r="C42" s="8" t="str">
        <x:f>IF(Teams!C3="Yes",IF('Red'!B5="","",'Red'!B5),"")</x:f>
        <x:v>Not opened</x:v>
      </x:c>
      <x:c r="D42" s="18" t="str">
        <x:f>IF(Teams!C3="Yes",IF('Red'!C5="","",'Red'!C5),"")</x:f>
      </x:c>
      <x:c r="E42" s="20" t="str">
        <x:f>IF(Teams!C3="Yes",IF('Red'!G5="","",'Red'!G5),"")</x:f>
        <x:v>beacon-hill</x:v>
      </x:c>
    </x:row>
    <x:row r="43" ht="24" customHeight="1">
      <x:c r="A43" s="8" t="str">
        <x:f>IF(Teams!C3="Yes",IF('Red'!F6="","",'Red'!F6),"")</x:f>
        <x:v>Red</x:v>
      </x:c>
      <x:c r="B43" s="8" t="str">
        <x:f>IF(Teams!C3="Yes",IF('Red'!A6="","",'Red'!A6),"")</x:f>
        <x:v>Brighton</x:v>
      </x:c>
      <x:c r="C43" s="8" t="str">
        <x:f>IF(Teams!C3="Yes",IF('Red'!B6="","",'Red'!B6),"")</x:f>
        <x:v>Not opened</x:v>
      </x:c>
      <x:c r="D43" s="18" t="str">
        <x:f>IF(Teams!C3="Yes",IF('Red'!C6="","",'Red'!C6),"")</x:f>
      </x:c>
      <x:c r="E43" s="20" t="str">
        <x:f>IF(Teams!C3="Yes",IF('Red'!G6="","",'Red'!G6),"")</x:f>
        <x:v>brighton</x:v>
      </x:c>
    </x:row>
    <x:row r="44" ht="24" customHeight="1">
      <x:c r="A44" s="8" t="str">
        <x:f>IF(Teams!C3="Yes",IF('Red'!F7="","",'Red'!F7),"")</x:f>
        <x:v>Red</x:v>
      </x:c>
      <x:c r="B44" s="8" t="str">
        <x:f>IF(Teams!C3="Yes",IF('Red'!A7="","",'Red'!A7),"")</x:f>
        <x:v>Charlestown</x:v>
      </x:c>
      <x:c r="C44" s="8" t="str">
        <x:f>IF(Teams!C3="Yes",IF('Red'!B7="","",'Red'!B7),"")</x:f>
        <x:v>Not opened</x:v>
      </x:c>
      <x:c r="D44" s="18" t="str">
        <x:f>IF(Teams!C3="Yes",IF('Red'!C7="","",'Red'!C7),"")</x:f>
      </x:c>
      <x:c r="E44" s="20" t="str">
        <x:f>IF(Teams!C3="Yes",IF('Red'!G7="","",'Red'!G7),"")</x:f>
        <x:v>charlestown</x:v>
      </x:c>
    </x:row>
    <x:row r="45" ht="24" customHeight="1">
      <x:c r="A45" s="8" t="str">
        <x:f>IF(Teams!C3="Yes",IF('Red'!F8="","",'Red'!F8),"")</x:f>
        <x:v>Red</x:v>
      </x:c>
      <x:c r="B45" s="8" t="str">
        <x:f>IF(Teams!C3="Yes",IF('Red'!A8="","",'Red'!A8),"")</x:f>
        <x:v>Chinatown</x:v>
      </x:c>
      <x:c r="C45" s="8" t="str">
        <x:f>IF(Teams!C3="Yes",IF('Red'!B8="","",'Red'!B8),"")</x:f>
        <x:v>Not opened</x:v>
      </x:c>
      <x:c r="D45" s="18" t="str">
        <x:f>IF(Teams!C3="Yes",IF('Red'!C8="","",'Red'!C8),"")</x:f>
      </x:c>
      <x:c r="E45" s="20" t="str">
        <x:f>IF(Teams!C3="Yes",IF('Red'!G8="","",'Red'!G8),"")</x:f>
        <x:v>chinatown-leather-district</x:v>
      </x:c>
    </x:row>
    <x:row r="46" ht="24" customHeight="1">
      <x:c r="A46" s="8" t="str">
        <x:f>IF(Teams!C3="Yes",IF('Red'!F9="","",'Red'!F9),"")</x:f>
        <x:v>Red</x:v>
      </x:c>
      <x:c r="B46" s="8" t="str">
        <x:f>IF(Teams!C3="Yes",IF('Red'!A9="","",'Red'!A9),"")</x:f>
        <x:v>Dorchester</x:v>
      </x:c>
      <x:c r="C46" s="8" t="str">
        <x:f>IF(Teams!C3="Yes",IF('Red'!B9="","",'Red'!B9),"")</x:f>
        <x:v>Not opened</x:v>
      </x:c>
      <x:c r="D46" s="18" t="str">
        <x:f>IF(Teams!C3="Yes",IF('Red'!C9="","",'Red'!C9),"")</x:f>
      </x:c>
      <x:c r="E46" s="20" t="str">
        <x:f>IF(Teams!C3="Yes",IF('Red'!G9="","",'Red'!G9),"")</x:f>
        <x:v>dorchester</x:v>
      </x:c>
    </x:row>
    <x:row r="47" ht="24" customHeight="1">
      <x:c r="A47" s="8" t="str">
        <x:f>IF(Teams!C3="Yes",IF('Red'!F10="","",'Red'!F10),"")</x:f>
        <x:v>Red</x:v>
      </x:c>
      <x:c r="B47" s="8" t="str">
        <x:f>IF(Teams!C3="Yes",IF('Red'!A10="","",'Red'!A10),"")</x:f>
        <x:v>Downtown</x:v>
      </x:c>
      <x:c r="C47" s="8" t="str">
        <x:f>IF(Teams!C3="Yes",IF('Red'!B10="","",'Red'!B10),"")</x:f>
        <x:v>Not opened</x:v>
      </x:c>
      <x:c r="D47" s="18" t="str">
        <x:f>IF(Teams!C3="Yes",IF('Red'!C10="","",'Red'!C10),"")</x:f>
      </x:c>
      <x:c r="E47" s="20" t="str">
        <x:f>IF(Teams!C3="Yes",IF('Red'!G10="","",'Red'!G10),"")</x:f>
        <x:v>downtown</x:v>
      </x:c>
    </x:row>
    <x:row r="48" ht="24" customHeight="1">
      <x:c r="A48" s="8" t="str">
        <x:f>IF(Teams!C3="Yes",IF('Red'!F11="","",'Red'!F11),"")</x:f>
        <x:v>Red</x:v>
      </x:c>
      <x:c r="B48" s="8" t="str">
        <x:f>IF(Teams!C3="Yes",IF('Red'!A11="","",'Red'!A11),"")</x:f>
        <x:v>East Boston</x:v>
      </x:c>
      <x:c r="C48" s="8" t="str">
        <x:f>IF(Teams!C3="Yes",IF('Red'!B11="","",'Red'!B11),"")</x:f>
        <x:v>Not opened</x:v>
      </x:c>
      <x:c r="D48" s="18" t="str">
        <x:f>IF(Teams!C3="Yes",IF('Red'!C11="","",'Red'!C11),"")</x:f>
      </x:c>
      <x:c r="E48" s="20" t="str">
        <x:f>IF(Teams!C3="Yes",IF('Red'!G11="","",'Red'!G11),"")</x:f>
        <x:v>east-boston</x:v>
      </x:c>
    </x:row>
    <x:row r="49" ht="24" customHeight="1">
      <x:c r="A49" s="8" t="str">
        <x:f>IF(Teams!C3="Yes",IF('Red'!F12="","",'Red'!F12),"")</x:f>
        <x:v>Red</x:v>
      </x:c>
      <x:c r="B49" s="8" t="str">
        <x:f>IF(Teams!C3="Yes",IF('Red'!A12="","",'Red'!A12),"")</x:f>
        <x:v>Fenway–Kenmore</x:v>
      </x:c>
      <x:c r="C49" s="8" t="str">
        <x:f>IF(Teams!C3="Yes",IF('Red'!B12="","",'Red'!B12),"")</x:f>
        <x:v>Not opened</x:v>
      </x:c>
      <x:c r="D49" s="18" t="str">
        <x:f>IF(Teams!C3="Yes",IF('Red'!C12="","",'Red'!C12),"")</x:f>
      </x:c>
      <x:c r="E49" s="20" t="str">
        <x:f>IF(Teams!C3="Yes",IF('Red'!G12="","",'Red'!G12),"")</x:f>
        <x:v>fenway-kenmore</x:v>
      </x:c>
    </x:row>
    <x:row r="50" ht="24" customHeight="1">
      <x:c r="A50" s="8" t="str">
        <x:f>IF(Teams!C3="Yes",IF('Red'!F13="","",'Red'!F13),"")</x:f>
        <x:v>Red</x:v>
      </x:c>
      <x:c r="B50" s="8" t="str">
        <x:f>IF(Teams!C3="Yes",IF('Red'!A13="","",'Red'!A13),"")</x:f>
        <x:v>Hyde Park</x:v>
      </x:c>
      <x:c r="C50" s="8" t="str">
        <x:f>IF(Teams!C3="Yes",IF('Red'!B13="","",'Red'!B13),"")</x:f>
        <x:v>Not opened</x:v>
      </x:c>
      <x:c r="D50" s="18" t="str">
        <x:f>IF(Teams!C3="Yes",IF('Red'!C13="","",'Red'!C13),"")</x:f>
      </x:c>
      <x:c r="E50" s="20" t="str">
        <x:f>IF(Teams!C3="Yes",IF('Red'!G13="","",'Red'!G13),"")</x:f>
        <x:v>hyde-park</x:v>
      </x:c>
    </x:row>
    <x:row r="51" ht="24" customHeight="1">
      <x:c r="A51" s="8" t="str">
        <x:f>IF(Teams!C3="Yes",IF('Red'!F14="","",'Red'!F14),"")</x:f>
        <x:v>Red</x:v>
      </x:c>
      <x:c r="B51" s="8" t="str">
        <x:f>IF(Teams!C3="Yes",IF('Red'!A14="","",'Red'!A14),"")</x:f>
        <x:v>Jamaica Plain</x:v>
      </x:c>
      <x:c r="C51" s="8" t="str">
        <x:f>IF(Teams!C3="Yes",IF('Red'!B14="","",'Red'!B14),"")</x:f>
        <x:v>Not opened</x:v>
      </x:c>
      <x:c r="D51" s="18" t="str">
        <x:f>IF(Teams!C3="Yes",IF('Red'!C14="","",'Red'!C14),"")</x:f>
      </x:c>
      <x:c r="E51" s="20" t="str">
        <x:f>IF(Teams!C3="Yes",IF('Red'!G14="","",'Red'!G14),"")</x:f>
        <x:v>jamaica-plain</x:v>
      </x:c>
    </x:row>
    <x:row r="52" ht="24" customHeight="1">
      <x:c r="A52" s="8" t="str">
        <x:f>IF(Teams!C3="Yes",IF('Red'!F15="","",'Red'!F15),"")</x:f>
        <x:v>Red</x:v>
      </x:c>
      <x:c r="B52" s="8" t="str">
        <x:f>IF(Teams!C3="Yes",IF('Red'!A15="","",'Red'!A15),"")</x:f>
        <x:v>Mattapan</x:v>
      </x:c>
      <x:c r="C52" s="8" t="str">
        <x:f>IF(Teams!C3="Yes",IF('Red'!B15="","",'Red'!B15),"")</x:f>
        <x:v>Not opened</x:v>
      </x:c>
      <x:c r="D52" s="18" t="str">
        <x:f>IF(Teams!C3="Yes",IF('Red'!C15="","",'Red'!C15),"")</x:f>
      </x:c>
      <x:c r="E52" s="20" t="str">
        <x:f>IF(Teams!C3="Yes",IF('Red'!G15="","",'Red'!G15),"")</x:f>
        <x:v>mattapan</x:v>
      </x:c>
    </x:row>
    <x:row r="53" ht="24" customHeight="1">
      <x:c r="A53" s="8" t="str">
        <x:f>IF(Teams!C3="Yes",IF('Red'!F16="","",'Red'!F16),"")</x:f>
        <x:v>Red</x:v>
      </x:c>
      <x:c r="B53" s="8" t="str">
        <x:f>IF(Teams!C3="Yes",IF('Red'!A16="","",'Red'!A16),"")</x:f>
        <x:v>Mission Hill</x:v>
      </x:c>
      <x:c r="C53" s="8" t="str">
        <x:f>IF(Teams!C3="Yes",IF('Red'!B16="","",'Red'!B16),"")</x:f>
        <x:v>Not opened</x:v>
      </x:c>
      <x:c r="D53" s="18" t="str">
        <x:f>IF(Teams!C3="Yes",IF('Red'!C16="","",'Red'!C16),"")</x:f>
      </x:c>
      <x:c r="E53" s="20" t="str">
        <x:f>IF(Teams!C3="Yes",IF('Red'!G16="","",'Red'!G16),"")</x:f>
        <x:v>mission-hill</x:v>
      </x:c>
    </x:row>
    <x:row r="54" ht="24" customHeight="1">
      <x:c r="A54" s="8" t="str">
        <x:f>IF(Teams!C3="Yes",IF('Red'!F17="","",'Red'!F17),"")</x:f>
        <x:v>Red</x:v>
      </x:c>
      <x:c r="B54" s="8" t="str">
        <x:f>IF(Teams!C3="Yes",IF('Red'!A17="","",'Red'!A17),"")</x:f>
        <x:v>North End</x:v>
      </x:c>
      <x:c r="C54" s="8" t="str">
        <x:f>IF(Teams!C3="Yes",IF('Red'!B17="","",'Red'!B17),"")</x:f>
        <x:v>Not opened</x:v>
      </x:c>
      <x:c r="D54" s="18" t="str">
        <x:f>IF(Teams!C3="Yes",IF('Red'!C17="","",'Red'!C17),"")</x:f>
      </x:c>
      <x:c r="E54" s="20" t="str">
        <x:f>IF(Teams!C3="Yes",IF('Red'!G17="","",'Red'!G17),"")</x:f>
        <x:v>north-end</x:v>
      </x:c>
    </x:row>
    <x:row r="55" ht="24" customHeight="1">
      <x:c r="A55" s="8" t="str">
        <x:f>IF(Teams!C3="Yes",IF('Red'!F18="","",'Red'!F18),"")</x:f>
        <x:v>Red</x:v>
      </x:c>
      <x:c r="B55" s="8" t="str">
        <x:f>IF(Teams!C3="Yes",IF('Red'!A18="","",'Red'!A18),"")</x:f>
        <x:v>Roslindale</x:v>
      </x:c>
      <x:c r="C55" s="8" t="str">
        <x:f>IF(Teams!C3="Yes",IF('Red'!B18="","",'Red'!B18),"")</x:f>
        <x:v>Not opened</x:v>
      </x:c>
      <x:c r="D55" s="18" t="str">
        <x:f>IF(Teams!C3="Yes",IF('Red'!C18="","",'Red'!C18),"")</x:f>
      </x:c>
      <x:c r="E55" s="20" t="str">
        <x:f>IF(Teams!C3="Yes",IF('Red'!G18="","",'Red'!G18),"")</x:f>
        <x:v>roslindale</x:v>
      </x:c>
    </x:row>
    <x:row r="56" ht="24" customHeight="1">
      <x:c r="A56" s="8" t="str">
        <x:f>IF(Teams!C3="Yes",IF('Red'!F19="","",'Red'!F19),"")</x:f>
        <x:v>Red</x:v>
      </x:c>
      <x:c r="B56" s="8" t="str">
        <x:f>IF(Teams!C3="Yes",IF('Red'!A19="","",'Red'!A19),"")</x:f>
        <x:v>Roxbury</x:v>
      </x:c>
      <x:c r="C56" s="8" t="str">
        <x:f>IF(Teams!C3="Yes",IF('Red'!B19="","",'Red'!B19),"")</x:f>
        <x:v>Not opened</x:v>
      </x:c>
      <x:c r="D56" s="18" t="str">
        <x:f>IF(Teams!C3="Yes",IF('Red'!C19="","",'Red'!C19),"")</x:f>
      </x:c>
      <x:c r="E56" s="20" t="str">
        <x:f>IF(Teams!C3="Yes",IF('Red'!G19="","",'Red'!G19),"")</x:f>
        <x:v>roxbury</x:v>
      </x:c>
    </x:row>
    <x:row r="57" ht="24" customHeight="1">
      <x:c r="A57" s="8" t="str">
        <x:f>IF(Teams!C3="Yes",IF('Red'!F20="","",'Red'!F20),"")</x:f>
        <x:v>Red</x:v>
      </x:c>
      <x:c r="B57" s="8" t="str">
        <x:f>IF(Teams!C3="Yes",IF('Red'!A20="","",'Red'!A20),"")</x:f>
        <x:v>South Boston</x:v>
      </x:c>
      <x:c r="C57" s="8" t="str">
        <x:f>IF(Teams!C3="Yes",IF('Red'!B20="","",'Red'!B20),"")</x:f>
        <x:v>Not opened</x:v>
      </x:c>
      <x:c r="D57" s="18" t="str">
        <x:f>IF(Teams!C3="Yes",IF('Red'!C20="","",'Red'!C20),"")</x:f>
      </x:c>
      <x:c r="E57" s="20" t="str">
        <x:f>IF(Teams!C3="Yes",IF('Red'!G20="","",'Red'!G20),"")</x:f>
        <x:v>south-boston</x:v>
      </x:c>
    </x:row>
    <x:row r="58" ht="24" customHeight="1">
      <x:c r="A58" s="8" t="str">
        <x:f>IF(Teams!C3="Yes",IF('Red'!F21="","",'Red'!F21),"")</x:f>
        <x:v>Red</x:v>
      </x:c>
      <x:c r="B58" s="8" t="str">
        <x:f>IF(Teams!C3="Yes",IF('Red'!A21="","",'Red'!A21),"")</x:f>
        <x:v>South End</x:v>
      </x:c>
      <x:c r="C58" s="8" t="str">
        <x:f>IF(Teams!C3="Yes",IF('Red'!B21="","",'Red'!B21),"")</x:f>
        <x:v>Not opened</x:v>
      </x:c>
      <x:c r="D58" s="18" t="str">
        <x:f>IF(Teams!C3="Yes",IF('Red'!C21="","",'Red'!C21),"")</x:f>
      </x:c>
      <x:c r="E58" s="20" t="str">
        <x:f>IF(Teams!C3="Yes",IF('Red'!G21="","",'Red'!G21),"")</x:f>
        <x:v>south-end</x:v>
      </x:c>
    </x:row>
    <x:row r="59" ht="24" customHeight="1">
      <x:c r="A59" s="8" t="str">
        <x:f>IF(Teams!C3="Yes",IF('Red'!F22="","",'Red'!F22),"")</x:f>
        <x:v>Red</x:v>
      </x:c>
      <x:c r="B59" s="8" t="str">
        <x:f>IF(Teams!C3="Yes",IF('Red'!A22="","",'Red'!A22),"")</x:f>
        <x:v>West End</x:v>
      </x:c>
      <x:c r="C59" s="8" t="str">
        <x:f>IF(Teams!C3="Yes",IF('Red'!B22="","",'Red'!B22),"")</x:f>
        <x:v>Not opened</x:v>
      </x:c>
      <x:c r="D59" s="18" t="str">
        <x:f>IF(Teams!C3="Yes",IF('Red'!C22="","",'Red'!C22),"")</x:f>
      </x:c>
      <x:c r="E59" s="20" t="str">
        <x:f>IF(Teams!C3="Yes",IF('Red'!G22="","",'Red'!G22),"")</x:f>
        <x:v>west-end</x:v>
      </x:c>
    </x:row>
    <x:row r="60" ht="24" customHeight="1">
      <x:c r="A60" s="8" t="str">
        <x:f>IF(Teams!C3="Yes",IF('Red'!F23="","",'Red'!F23),"")</x:f>
        <x:v>Red</x:v>
      </x:c>
      <x:c r="B60" s="8" t="str">
        <x:f>IF(Teams!C3="Yes",IF('Red'!A23="","",'Red'!A23),"")</x:f>
        <x:v>West Roxbury</x:v>
      </x:c>
      <x:c r="C60" s="8" t="str">
        <x:f>IF(Teams!C3="Yes",IF('Red'!B23="","",'Red'!B23),"")</x:f>
        <x:v>Not opened</x:v>
      </x:c>
      <x:c r="D60" s="18" t="str">
        <x:f>IF(Teams!C3="Yes",IF('Red'!C23="","",'Red'!C23),"")</x:f>
      </x:c>
      <x:c r="E60" s="20" t="str">
        <x:f>IF(Teams!C3="Yes",IF('Red'!G23="","",'Red'!G23),"")</x:f>
        <x:v>west-roxbury</x:v>
      </x:c>
    </x:row>
    <x:row r="61" ht="24" customHeight="1">
      <x:c r="A61" s="8" t="str">
        <x:f>IF(Teams!C3="Yes",IF('Red'!F24="","",'Red'!F24),"")</x:f>
        <x:v>Red</x:v>
      </x:c>
      <x:c r="B61" s="8" t="str">
        <x:f>IF(Teams!C3="Yes",IF('Red'!A24="","",'Red'!A24),"")</x:f>
        <x:v>Seaport</x:v>
      </x:c>
      <x:c r="C61" s="8" t="str">
        <x:f>IF(Teams!C3="Yes",IF('Red'!B24="","",'Red'!B24),"")</x:f>
        <x:v>Not opened</x:v>
      </x:c>
      <x:c r="D61" s="18" t="str">
        <x:f>IF(Teams!C3="Yes",IF('Red'!C24="","",'Red'!C24),"")</x:f>
      </x:c>
      <x:c r="E61" s="20" t="str">
        <x:f>IF(Teams!C3="Yes",IF('Red'!G24="","",'Red'!G24),"")</x:f>
        <x:v>seaport</x:v>
      </x:c>
    </x:row>
    <x:row r="62" ht="24" customHeight="1">
      <x:c r="A62" s="8" t="str">
        <x:f>IF(Teams!C3="Yes",IF('Red'!F25="","",'Red'!F25),"")</x:f>
        <x:v>Red</x:v>
      </x:c>
      <x:c r="B62" s="8" t="str">
        <x:f>IF(Teams!C3="Yes",IF('Red'!A25="","",'Red'!A25),"")</x:f>
        <x:v>Cambridge</x:v>
      </x:c>
      <x:c r="C62" s="8" t="str">
        <x:f>IF(Teams!C3="Yes",IF('Red'!B25="","",'Red'!B25),"")</x:f>
        <x:v>Not opened</x:v>
      </x:c>
      <x:c r="D62" s="18" t="str">
        <x:f>IF(Teams!C3="Yes",IF('Red'!C25="","",'Red'!C25),"")</x:f>
      </x:c>
      <x:c r="E62" s="20" t="str">
        <x:f>IF(Teams!C3="Yes",IF('Red'!G25="","",'Red'!G25),"")</x:f>
        <x:v>cambridge</x:v>
      </x:c>
    </x:row>
    <x:row r="63" ht="24" customHeight="1">
      <x:c r="A63" s="8" t="str">
        <x:f>IF(Teams!C3="Yes",IF('Red'!F26="","",'Red'!F26),"")</x:f>
        <x:v>Red</x:v>
      </x:c>
      <x:c r="B63" s="8" t="str">
        <x:f>IF(Teams!C3="Yes",IF('Red'!A26="","",'Red'!A26),"")</x:f>
        <x:v>Somerville</x:v>
      </x:c>
      <x:c r="C63" s="8" t="str">
        <x:f>IF(Teams!C3="Yes",IF('Red'!B26="","",'Red'!B26),"")</x:f>
        <x:v>Not opened</x:v>
      </x:c>
      <x:c r="D63" s="18" t="str">
        <x:f>IF(Teams!C3="Yes",IF('Red'!C26="","",'Red'!C26),"")</x:f>
      </x:c>
      <x:c r="E63" s="20" t="str">
        <x:f>IF(Teams!C3="Yes",IF('Red'!G26="","",'Red'!G26),"")</x:f>
        <x:v>somerville</x:v>
      </x:c>
    </x:row>
    <x:row r="64" ht="24" customHeight="1">
      <x:c r="A64" s="8" t="str">
        <x:f>IF(Teams!C3="Yes",IF('Red'!F27="","",'Red'!F27),"")</x:f>
        <x:v>Red</x:v>
      </x:c>
      <x:c r="B64" s="8" t="str">
        <x:f>IF(Teams!C3="Yes",IF('Red'!A27="","",'Red'!A27),"")</x:f>
        <x:v>Everett</x:v>
      </x:c>
      <x:c r="C64" s="8" t="str">
        <x:f>IF(Teams!C3="Yes",IF('Red'!B27="","",'Red'!B27),"")</x:f>
        <x:v>Not opened</x:v>
      </x:c>
      <x:c r="D64" s="18" t="str">
        <x:f>IF(Teams!C3="Yes",IF('Red'!C27="","",'Red'!C27),"")</x:f>
      </x:c>
      <x:c r="E64" s="20" t="str">
        <x:f>IF(Teams!C3="Yes",IF('Red'!G27="","",'Red'!G27),"")</x:f>
        <x:v>everett</x:v>
      </x:c>
    </x:row>
    <x:row r="65" ht="24" customHeight="1">
      <x:c r="A65" s="8" t="str">
        <x:f>IF(Teams!C3="Yes",IF('Red'!F28="","",'Red'!F28),"")</x:f>
        <x:v>Red</x:v>
      </x:c>
      <x:c r="B65" s="8" t="str">
        <x:f>IF(Teams!C3="Yes",IF('Red'!A28="","",'Red'!A28),"")</x:f>
        <x:v>Chelsea</x:v>
      </x:c>
      <x:c r="C65" s="8" t="str">
        <x:f>IF(Teams!C3="Yes",IF('Red'!B28="","",'Red'!B28),"")</x:f>
        <x:v>Not opened</x:v>
      </x:c>
      <x:c r="D65" s="18" t="str">
        <x:f>IF(Teams!C3="Yes",IF('Red'!C28="","",'Red'!C28),"")</x:f>
      </x:c>
      <x:c r="E65" s="20" t="str">
        <x:f>IF(Teams!C3="Yes",IF('Red'!G28="","",'Red'!G28),"")</x:f>
        <x:v>chelsea</x:v>
      </x:c>
    </x:row>
    <x:row r="66" ht="24" customHeight="1">
      <x:c r="A66" s="8" t="str">
        <x:f>IF(Teams!C3="Yes",IF('Red'!F29="","",'Red'!F29),"")</x:f>
        <x:v>Red</x:v>
      </x:c>
      <x:c r="B66" s="8" t="str">
        <x:f>IF(Teams!C3="Yes",IF('Red'!A29="","",'Red'!A29),"")</x:f>
        <x:v>Revere</x:v>
      </x:c>
      <x:c r="C66" s="8" t="str">
        <x:f>IF(Teams!C3="Yes",IF('Red'!B29="","",'Red'!B29),"")</x:f>
        <x:v>Not opened</x:v>
      </x:c>
      <x:c r="D66" s="18" t="str">
        <x:f>IF(Teams!C3="Yes",IF('Red'!C29="","",'Red'!C29),"")</x:f>
      </x:c>
      <x:c r="E66" s="20" t="str">
        <x:f>IF(Teams!C3="Yes",IF('Red'!G29="","",'Red'!G29),"")</x:f>
        <x:v>revere</x:v>
      </x:c>
    </x:row>
    <x:row r="67" ht="24" customHeight="1">
      <x:c r="A67" s="8" t="str">
        <x:f>IF(Teams!C3="Yes",IF('Red'!F30="","",'Red'!F30),"")</x:f>
        <x:v>Red</x:v>
      </x:c>
      <x:c r="B67" s="8" t="str">
        <x:f>IF(Teams!C3="Yes",IF('Red'!A30="","",'Red'!A30),"")</x:f>
        <x:v>Malden</x:v>
      </x:c>
      <x:c r="C67" s="8" t="str">
        <x:f>IF(Teams!C3="Yes",IF('Red'!B30="","",'Red'!B30),"")</x:f>
        <x:v>Not opened</x:v>
      </x:c>
      <x:c r="D67" s="18" t="str">
        <x:f>IF(Teams!C3="Yes",IF('Red'!C30="","",'Red'!C30),"")</x:f>
      </x:c>
      <x:c r="E67" s="20" t="str">
        <x:f>IF(Teams!C3="Yes",IF('Red'!G30="","",'Red'!G30),"")</x:f>
        <x:v>malden</x:v>
      </x:c>
    </x:row>
    <x:row r="68" ht="24" customHeight="1">
      <x:c r="A68" s="8" t="str">
        <x:f>IF(Teams!C3="Yes",IF('Red'!F31="","",'Red'!F31),"")</x:f>
        <x:v>Red</x:v>
      </x:c>
      <x:c r="B68" s="8" t="str">
        <x:f>IF(Teams!C3="Yes",IF('Red'!A31="","",'Red'!A31),"")</x:f>
        <x:v>Medford</x:v>
      </x:c>
      <x:c r="C68" s="8" t="str">
        <x:f>IF(Teams!C3="Yes",IF('Red'!B31="","",'Red'!B31),"")</x:f>
        <x:v>Not opened</x:v>
      </x:c>
      <x:c r="D68" s="18" t="str">
        <x:f>IF(Teams!C3="Yes",IF('Red'!C31="","",'Red'!C31),"")</x:f>
      </x:c>
      <x:c r="E68" s="20" t="str">
        <x:f>IF(Teams!C3="Yes",IF('Red'!G31="","",'Red'!G31),"")</x:f>
        <x:v>medford</x:v>
      </x:c>
    </x:row>
    <x:row r="69" ht="24" customHeight="1">
      <x:c r="A69" s="8" t="str">
        <x:f>IF(Teams!C3="Yes",IF('Red'!F32="","",'Red'!F32),"")</x:f>
        <x:v>Red</x:v>
      </x:c>
      <x:c r="B69" s="8" t="str">
        <x:f>IF(Teams!C3="Yes",IF('Red'!A32="","",'Red'!A32),"")</x:f>
        <x:v>Brookline</x:v>
      </x:c>
      <x:c r="C69" s="8" t="str">
        <x:f>IF(Teams!C3="Yes",IF('Red'!B32="","",'Red'!B32),"")</x:f>
        <x:v>Not opened</x:v>
      </x:c>
      <x:c r="D69" s="18" t="str">
        <x:f>IF(Teams!C3="Yes",IF('Red'!C32="","",'Red'!C32),"")</x:f>
      </x:c>
      <x:c r="E69" s="20" t="str">
        <x:f>IF(Teams!C3="Yes",IF('Red'!G32="","",'Red'!G32),"")</x:f>
        <x:v>brookline</x:v>
      </x:c>
    </x:row>
    <x:row r="70" ht="24" customHeight="1">
      <x:c r="A70" s="8" t="str">
        <x:f>IF(Teams!C3="Yes",IF('Red'!F33="","",'Red'!F33),"")</x:f>
        <x:v>Red</x:v>
      </x:c>
      <x:c r="B70" s="8" t="str">
        <x:f>IF(Teams!C3="Yes",IF('Red'!A33="","",'Red'!A33),"")</x:f>
        <x:v>Newton</x:v>
      </x:c>
      <x:c r="C70" s="8" t="str">
        <x:f>IF(Teams!C3="Yes",IF('Red'!B33="","",'Red'!B33),"")</x:f>
        <x:v>Not opened</x:v>
      </x:c>
      <x:c r="D70" s="18" t="str">
        <x:f>IF(Teams!C3="Yes",IF('Red'!C33="","",'Red'!C33),"")</x:f>
      </x:c>
      <x:c r="E70" s="20" t="str">
        <x:f>IF(Teams!C3="Yes",IF('Red'!G33="","",'Red'!G33),"")</x:f>
        <x:v>newton</x:v>
      </x:c>
    </x:row>
    <x:row r="71" ht="24" customHeight="1">
      <x:c r="A71" s="8" t="str">
        <x:f>IF(Teams!C3="Yes",IF('Red'!F34="","",'Red'!F34),"")</x:f>
        <x:v>Red</x:v>
      </x:c>
      <x:c r="B71" s="8" t="str">
        <x:f>IF(Teams!C3="Yes",IF('Red'!A34="","",'Red'!A34),"")</x:f>
        <x:v>Quincy</x:v>
      </x:c>
      <x:c r="C71" s="8" t="str">
        <x:f>IF(Teams!C3="Yes",IF('Red'!B34="","",'Red'!B34),"")</x:f>
        <x:v>Not opened</x:v>
      </x:c>
      <x:c r="D71" s="18" t="str">
        <x:f>IF(Teams!C3="Yes",IF('Red'!C34="","",'Red'!C34),"")</x:f>
      </x:c>
      <x:c r="E71" s="20" t="str">
        <x:f>IF(Teams!C3="Yes",IF('Red'!G34="","",'Red'!G34),"")</x:f>
        <x:v>quincy</x:v>
      </x:c>
    </x:row>
    <x:row r="72" ht="24" customHeight="1">
      <x:c r="A72" s="8" t="str">
        <x:f>IF(Teams!C3="Yes",IF('Red'!F35="","",'Red'!F35),"")</x:f>
        <x:v>Red</x:v>
      </x:c>
      <x:c r="B72" s="8" t="str">
        <x:f>IF(Teams!C3="Yes",IF('Red'!A35="","",'Red'!A35),"")</x:f>
        <x:v>Braintree</x:v>
      </x:c>
      <x:c r="C72" s="8" t="str">
        <x:f>IF(Teams!C3="Yes",IF('Red'!B35="","",'Red'!B35),"")</x:f>
        <x:v>Not opened</x:v>
      </x:c>
      <x:c r="D72" s="18" t="str">
        <x:f>IF(Teams!C3="Yes",IF('Red'!C35="","",'Red'!C35),"")</x:f>
      </x:c>
      <x:c r="E72" s="20" t="str">
        <x:f>IF(Teams!C3="Yes",IF('Red'!G35="","",'Red'!G35),"")</x:f>
        <x:v>braintree</x:v>
      </x:c>
    </x:row>
    <x:row r="73" ht="24" customHeight="1">
      <x:c r="A73" s="8" t="str">
        <x:f>IF(Teams!C3="Yes",IF('Red'!F36="","",'Red'!F36),"")</x:f>
        <x:v>Red</x:v>
      </x:c>
      <x:c r="B73" s="8" t="str">
        <x:f>IF(Teams!C3="Yes",IF('Red'!A36="","",'Red'!A36),"")</x:f>
        <x:v>Winthrop</x:v>
      </x:c>
      <x:c r="C73" s="8" t="str">
        <x:f>IF(Teams!C3="Yes",IF('Red'!B36="","",'Red'!B36),"")</x:f>
        <x:v>Not opened</x:v>
      </x:c>
      <x:c r="D73" s="18" t="str">
        <x:f>IF(Teams!C3="Yes",IF('Red'!C36="","",'Red'!C36),"")</x:f>
      </x:c>
      <x:c r="E73" s="20" t="str">
        <x:f>IF(Teams!C3="Yes",IF('Red'!G36="","",'Red'!G36),"")</x:f>
        <x:v>winthrop</x:v>
      </x:c>
    </x:row>
    <x:row r="74" ht="24" customHeight="1">
      <x:c r="A74" s="8" t="str">
        <x:f>IF(Teams!C3="Yes",IF('Red'!F37="","",'Red'!F37),"")</x:f>
        <x:v>Red</x:v>
      </x:c>
      <x:c r="B74" s="8" t="str">
        <x:f>IF(Teams!C3="Yes",IF('Red'!A37="","",'Red'!A37),"")</x:f>
        <x:v>Milton</x:v>
      </x:c>
      <x:c r="C74" s="8" t="str">
        <x:f>IF(Teams!C3="Yes",IF('Red'!B37="","",'Red'!B37),"")</x:f>
        <x:v>Not opened</x:v>
      </x:c>
      <x:c r="D74" s="18" t="str">
        <x:f>IF(Teams!C3="Yes",IF('Red'!C37="","",'Red'!C37),"")</x:f>
      </x:c>
      <x:c r="E74" s="20" t="str">
        <x:f>IF(Teams!C3="Yes",IF('Red'!G37="","",'Red'!G37),"")</x:f>
        <x:v>milton</x:v>
      </x:c>
    </x:row>
    <x:row r="75" ht="24" customHeight="1">
      <x:c r="A75" s="8" t="str">
        <x:f>IF(Teams!C3="Yes",IF('Red'!F38="","",'Red'!F38),"")</x:f>
        <x:v>Red</x:v>
      </x:c>
      <x:c r="B75" s="8" t="str">
        <x:f>IF(Teams!C3="Yes",IF('Red'!A38="","",'Red'!A38),"")</x:f>
        <x:v>Longwood</x:v>
      </x:c>
      <x:c r="C75" s="8" t="str">
        <x:f>IF(Teams!C3="Yes",IF('Red'!B38="","",'Red'!B38),"")</x:f>
        <x:v>Not opened</x:v>
      </x:c>
      <x:c r="D75" s="18" t="str">
        <x:f>IF(Teams!C3="Yes",IF('Red'!C38="","",'Red'!C38),"")</x:f>
      </x:c>
      <x:c r="E75" s="20" t="str">
        <x:f>IF(Teams!C3="Yes",IF('Red'!G38="","",'Red'!G38),"")</x:f>
        <x:v>longwood</x:v>
      </x:c>
    </x:row>
    <x:row r="76" ht="24" customHeight="1">
      <x:c r="A76" s="8" t="str">
        <x:f>IF(Teams!C4="Yes",IF('Green'!F2="","",'Green'!F2),"")</x:f>
        <x:v>Green</x:v>
      </x:c>
      <x:c r="B76" s="8" t="str">
        <x:f>IF(Teams!C4="Yes",IF('Green'!A2="","",'Green'!A2),"")</x:f>
        <x:v>Allston</x:v>
      </x:c>
      <x:c r="C76" s="8" t="str">
        <x:f>IF(Teams!C4="Yes",IF('Green'!B2="","",'Green'!B2),"")</x:f>
        <x:v>Not opened</x:v>
      </x:c>
      <x:c r="D76" s="18" t="str">
        <x:f>IF(Teams!C4="Yes",IF('Green'!C2="","",'Green'!C2),"")</x:f>
      </x:c>
      <x:c r="E76" s="20" t="str">
        <x:f>IF(Teams!C4="Yes",IF('Green'!G2="","",'Green'!G2),"")</x:f>
        <x:v>allston</x:v>
      </x:c>
    </x:row>
    <x:row r="77" ht="24" customHeight="1">
      <x:c r="A77" s="8" t="str">
        <x:f>IF(Teams!C4="Yes",IF('Green'!F3="","",'Green'!F3),"")</x:f>
        <x:v>Green</x:v>
      </x:c>
      <x:c r="B77" s="8" t="str">
        <x:f>IF(Teams!C4="Yes",IF('Green'!A3="","",'Green'!A3),"")</x:f>
        <x:v>Back Bay</x:v>
      </x:c>
      <x:c r="C77" s="8" t="str">
        <x:f>IF(Teams!C4="Yes",IF('Green'!B3="","",'Green'!B3),"")</x:f>
        <x:v>Not opened</x:v>
      </x:c>
      <x:c r="D77" s="18" t="str">
        <x:f>IF(Teams!C4="Yes",IF('Green'!C3="","",'Green'!C3),"")</x:f>
      </x:c>
      <x:c r="E77" s="20" t="str">
        <x:f>IF(Teams!C4="Yes",IF('Green'!G3="","",'Green'!G3),"")</x:f>
        <x:v>back-bay</x:v>
      </x:c>
    </x:row>
    <x:row r="78" ht="24" customHeight="1">
      <x:c r="A78" s="8" t="str">
        <x:f>IF(Teams!C4="Yes",IF('Green'!F4="","",'Green'!F4),"")</x:f>
        <x:v>Green</x:v>
      </x:c>
      <x:c r="B78" s="8" t="str">
        <x:f>IF(Teams!C4="Yes",IF('Green'!A4="","",'Green'!A4),"")</x:f>
        <x:v>Bay Village</x:v>
      </x:c>
      <x:c r="C78" s="8" t="str">
        <x:f>IF(Teams!C4="Yes",IF('Green'!B4="","",'Green'!B4),"")</x:f>
        <x:v>Not opened</x:v>
      </x:c>
      <x:c r="D78" s="18" t="str">
        <x:f>IF(Teams!C4="Yes",IF('Green'!C4="","",'Green'!C4),"")</x:f>
      </x:c>
      <x:c r="E78" s="20" t="str">
        <x:f>IF(Teams!C4="Yes",IF('Green'!G4="","",'Green'!G4),"")</x:f>
        <x:v>bay-village</x:v>
      </x:c>
    </x:row>
    <x:row r="79" ht="24" customHeight="1">
      <x:c r="A79" s="8" t="str">
        <x:f>IF(Teams!C4="Yes",IF('Green'!F5="","",'Green'!F5),"")</x:f>
        <x:v>Green</x:v>
      </x:c>
      <x:c r="B79" s="8" t="str">
        <x:f>IF(Teams!C4="Yes",IF('Green'!A5="","",'Green'!A5),"")</x:f>
        <x:v>Beacon Hill</x:v>
      </x:c>
      <x:c r="C79" s="8" t="str">
        <x:f>IF(Teams!C4="Yes",IF('Green'!B5="","",'Green'!B5),"")</x:f>
        <x:v>Not opened</x:v>
      </x:c>
      <x:c r="D79" s="18" t="str">
        <x:f>IF(Teams!C4="Yes",IF('Green'!C5="","",'Green'!C5),"")</x:f>
      </x:c>
      <x:c r="E79" s="20" t="str">
        <x:f>IF(Teams!C4="Yes",IF('Green'!G5="","",'Green'!G5),"")</x:f>
        <x:v>beacon-hill</x:v>
      </x:c>
    </x:row>
    <x:row r="80" ht="24" customHeight="1">
      <x:c r="A80" s="8" t="str">
        <x:f>IF(Teams!C4="Yes",IF('Green'!F6="","",'Green'!F6),"")</x:f>
        <x:v>Green</x:v>
      </x:c>
      <x:c r="B80" s="8" t="str">
        <x:f>IF(Teams!C4="Yes",IF('Green'!A6="","",'Green'!A6),"")</x:f>
        <x:v>Brighton</x:v>
      </x:c>
      <x:c r="C80" s="8" t="str">
        <x:f>IF(Teams!C4="Yes",IF('Green'!B6="","",'Green'!B6),"")</x:f>
        <x:v>Not opened</x:v>
      </x:c>
      <x:c r="D80" s="18" t="str">
        <x:f>IF(Teams!C4="Yes",IF('Green'!C6="","",'Green'!C6),"")</x:f>
      </x:c>
      <x:c r="E80" s="20" t="str">
        <x:f>IF(Teams!C4="Yes",IF('Green'!G6="","",'Green'!G6),"")</x:f>
        <x:v>brighton</x:v>
      </x:c>
    </x:row>
    <x:row r="81" ht="24" customHeight="1">
      <x:c r="A81" s="8" t="str">
        <x:f>IF(Teams!C4="Yes",IF('Green'!F7="","",'Green'!F7),"")</x:f>
        <x:v>Green</x:v>
      </x:c>
      <x:c r="B81" s="8" t="str">
        <x:f>IF(Teams!C4="Yes",IF('Green'!A7="","",'Green'!A7),"")</x:f>
        <x:v>Charlestown</x:v>
      </x:c>
      <x:c r="C81" s="8" t="str">
        <x:f>IF(Teams!C4="Yes",IF('Green'!B7="","",'Green'!B7),"")</x:f>
        <x:v>Not opened</x:v>
      </x:c>
      <x:c r="D81" s="18" t="str">
        <x:f>IF(Teams!C4="Yes",IF('Green'!C7="","",'Green'!C7),"")</x:f>
      </x:c>
      <x:c r="E81" s="20" t="str">
        <x:f>IF(Teams!C4="Yes",IF('Green'!G7="","",'Green'!G7),"")</x:f>
        <x:v>charlestown</x:v>
      </x:c>
    </x:row>
    <x:row r="82" ht="24" customHeight="1">
      <x:c r="A82" s="8" t="str">
        <x:f>IF(Teams!C4="Yes",IF('Green'!F8="","",'Green'!F8),"")</x:f>
        <x:v>Green</x:v>
      </x:c>
      <x:c r="B82" s="8" t="str">
        <x:f>IF(Teams!C4="Yes",IF('Green'!A8="","",'Green'!A8),"")</x:f>
        <x:v>Chinatown</x:v>
      </x:c>
      <x:c r="C82" s="8" t="str">
        <x:f>IF(Teams!C4="Yes",IF('Green'!B8="","",'Green'!B8),"")</x:f>
        <x:v>Not opened</x:v>
      </x:c>
      <x:c r="D82" s="18" t="str">
        <x:f>IF(Teams!C4="Yes",IF('Green'!C8="","",'Green'!C8),"")</x:f>
      </x:c>
      <x:c r="E82" s="20" t="str">
        <x:f>IF(Teams!C4="Yes",IF('Green'!G8="","",'Green'!G8),"")</x:f>
        <x:v>chinatown-leather-district</x:v>
      </x:c>
    </x:row>
    <x:row r="83" ht="24" customHeight="1">
      <x:c r="A83" s="8" t="str">
        <x:f>IF(Teams!C4="Yes",IF('Green'!F9="","",'Green'!F9),"")</x:f>
        <x:v>Green</x:v>
      </x:c>
      <x:c r="B83" s="8" t="str">
        <x:f>IF(Teams!C4="Yes",IF('Green'!A9="","",'Green'!A9),"")</x:f>
        <x:v>Dorchester</x:v>
      </x:c>
      <x:c r="C83" s="8" t="str">
        <x:f>IF(Teams!C4="Yes",IF('Green'!B9="","",'Green'!B9),"")</x:f>
        <x:v>Not opened</x:v>
      </x:c>
      <x:c r="D83" s="18" t="str">
        <x:f>IF(Teams!C4="Yes",IF('Green'!C9="","",'Green'!C9),"")</x:f>
      </x:c>
      <x:c r="E83" s="20" t="str">
        <x:f>IF(Teams!C4="Yes",IF('Green'!G9="","",'Green'!G9),"")</x:f>
        <x:v>dorchester</x:v>
      </x:c>
    </x:row>
    <x:row r="84" ht="24" customHeight="1">
      <x:c r="A84" s="8" t="str">
        <x:f>IF(Teams!C4="Yes",IF('Green'!F10="","",'Green'!F10),"")</x:f>
        <x:v>Green</x:v>
      </x:c>
      <x:c r="B84" s="8" t="str">
        <x:f>IF(Teams!C4="Yes",IF('Green'!A10="","",'Green'!A10),"")</x:f>
        <x:v>Downtown</x:v>
      </x:c>
      <x:c r="C84" s="8" t="str">
        <x:f>IF(Teams!C4="Yes",IF('Green'!B10="","",'Green'!B10),"")</x:f>
        <x:v>Not opened</x:v>
      </x:c>
      <x:c r="D84" s="18" t="str">
        <x:f>IF(Teams!C4="Yes",IF('Green'!C10="","",'Green'!C10),"")</x:f>
      </x:c>
      <x:c r="E84" s="20" t="str">
        <x:f>IF(Teams!C4="Yes",IF('Green'!G10="","",'Green'!G10),"")</x:f>
        <x:v>downtown</x:v>
      </x:c>
    </x:row>
    <x:row r="85" ht="24" customHeight="1">
      <x:c r="A85" s="8" t="str">
        <x:f>IF(Teams!C4="Yes",IF('Green'!F11="","",'Green'!F11),"")</x:f>
        <x:v>Green</x:v>
      </x:c>
      <x:c r="B85" s="8" t="str">
        <x:f>IF(Teams!C4="Yes",IF('Green'!A11="","",'Green'!A11),"")</x:f>
        <x:v>East Boston</x:v>
      </x:c>
      <x:c r="C85" s="8" t="str">
        <x:f>IF(Teams!C4="Yes",IF('Green'!B11="","",'Green'!B11),"")</x:f>
        <x:v>Not opened</x:v>
      </x:c>
      <x:c r="D85" s="18" t="str">
        <x:f>IF(Teams!C4="Yes",IF('Green'!C11="","",'Green'!C11),"")</x:f>
      </x:c>
      <x:c r="E85" s="20" t="str">
        <x:f>IF(Teams!C4="Yes",IF('Green'!G11="","",'Green'!G11),"")</x:f>
        <x:v>east-boston</x:v>
      </x:c>
    </x:row>
    <x:row r="86" ht="24" customHeight="1">
      <x:c r="A86" s="8" t="str">
        <x:f>IF(Teams!C4="Yes",IF('Green'!F12="","",'Green'!F12),"")</x:f>
        <x:v>Green</x:v>
      </x:c>
      <x:c r="B86" s="8" t="str">
        <x:f>IF(Teams!C4="Yes",IF('Green'!A12="","",'Green'!A12),"")</x:f>
        <x:v>Fenway–Kenmore</x:v>
      </x:c>
      <x:c r="C86" s="8" t="str">
        <x:f>IF(Teams!C4="Yes",IF('Green'!B12="","",'Green'!B12),"")</x:f>
        <x:v>Not opened</x:v>
      </x:c>
      <x:c r="D86" s="18" t="str">
        <x:f>IF(Teams!C4="Yes",IF('Green'!C12="","",'Green'!C12),"")</x:f>
      </x:c>
      <x:c r="E86" s="20" t="str">
        <x:f>IF(Teams!C4="Yes",IF('Green'!G12="","",'Green'!G12),"")</x:f>
        <x:v>fenway-kenmore</x:v>
      </x:c>
    </x:row>
    <x:row r="87" ht="24" customHeight="1">
      <x:c r="A87" s="8" t="str">
        <x:f>IF(Teams!C4="Yes",IF('Green'!F13="","",'Green'!F13),"")</x:f>
        <x:v>Green</x:v>
      </x:c>
      <x:c r="B87" s="8" t="str">
        <x:f>IF(Teams!C4="Yes",IF('Green'!A13="","",'Green'!A13),"")</x:f>
        <x:v>Hyde Park</x:v>
      </x:c>
      <x:c r="C87" s="8" t="str">
        <x:f>IF(Teams!C4="Yes",IF('Green'!B13="","",'Green'!B13),"")</x:f>
        <x:v>Not opened</x:v>
      </x:c>
      <x:c r="D87" s="18" t="str">
        <x:f>IF(Teams!C4="Yes",IF('Green'!C13="","",'Green'!C13),"")</x:f>
      </x:c>
      <x:c r="E87" s="20" t="str">
        <x:f>IF(Teams!C4="Yes",IF('Green'!G13="","",'Green'!G13),"")</x:f>
        <x:v>hyde-park</x:v>
      </x:c>
    </x:row>
    <x:row r="88" ht="24" customHeight="1">
      <x:c r="A88" s="8" t="str">
        <x:f>IF(Teams!C4="Yes",IF('Green'!F14="","",'Green'!F14),"")</x:f>
        <x:v>Green</x:v>
      </x:c>
      <x:c r="B88" s="8" t="str">
        <x:f>IF(Teams!C4="Yes",IF('Green'!A14="","",'Green'!A14),"")</x:f>
        <x:v>Jamaica Plain</x:v>
      </x:c>
      <x:c r="C88" s="8" t="str">
        <x:f>IF(Teams!C4="Yes",IF('Green'!B14="","",'Green'!B14),"")</x:f>
        <x:v>Not opened</x:v>
      </x:c>
      <x:c r="D88" s="18" t="str">
        <x:f>IF(Teams!C4="Yes",IF('Green'!C14="","",'Green'!C14),"")</x:f>
      </x:c>
      <x:c r="E88" s="20" t="str">
        <x:f>IF(Teams!C4="Yes",IF('Green'!G14="","",'Green'!G14),"")</x:f>
        <x:v>jamaica-plain</x:v>
      </x:c>
    </x:row>
    <x:row r="89" ht="24" customHeight="1">
      <x:c r="A89" s="8" t="str">
        <x:f>IF(Teams!C4="Yes",IF('Green'!F15="","",'Green'!F15),"")</x:f>
        <x:v>Green</x:v>
      </x:c>
      <x:c r="B89" s="8" t="str">
        <x:f>IF(Teams!C4="Yes",IF('Green'!A15="","",'Green'!A15),"")</x:f>
        <x:v>Mattapan</x:v>
      </x:c>
      <x:c r="C89" s="8" t="str">
        <x:f>IF(Teams!C4="Yes",IF('Green'!B15="","",'Green'!B15),"")</x:f>
        <x:v>Not opened</x:v>
      </x:c>
      <x:c r="D89" s="18" t="str">
        <x:f>IF(Teams!C4="Yes",IF('Green'!C15="","",'Green'!C15),"")</x:f>
      </x:c>
      <x:c r="E89" s="20" t="str">
        <x:f>IF(Teams!C4="Yes",IF('Green'!G15="","",'Green'!G15),"")</x:f>
        <x:v>mattapan</x:v>
      </x:c>
    </x:row>
    <x:row r="90" ht="24" customHeight="1">
      <x:c r="A90" s="8" t="str">
        <x:f>IF(Teams!C4="Yes",IF('Green'!F16="","",'Green'!F16),"")</x:f>
        <x:v>Green</x:v>
      </x:c>
      <x:c r="B90" s="8" t="str">
        <x:f>IF(Teams!C4="Yes",IF('Green'!A16="","",'Green'!A16),"")</x:f>
        <x:v>Mission Hill</x:v>
      </x:c>
      <x:c r="C90" s="8" t="str">
        <x:f>IF(Teams!C4="Yes",IF('Green'!B16="","",'Green'!B16),"")</x:f>
        <x:v>Not opened</x:v>
      </x:c>
      <x:c r="D90" s="18" t="str">
        <x:f>IF(Teams!C4="Yes",IF('Green'!C16="","",'Green'!C16),"")</x:f>
      </x:c>
      <x:c r="E90" s="20" t="str">
        <x:f>IF(Teams!C4="Yes",IF('Green'!G16="","",'Green'!G16),"")</x:f>
        <x:v>mission-hill</x:v>
      </x:c>
    </x:row>
    <x:row r="91" ht="24" customHeight="1">
      <x:c r="A91" s="8" t="str">
        <x:f>IF(Teams!C4="Yes",IF('Green'!F17="","",'Green'!F17),"")</x:f>
        <x:v>Green</x:v>
      </x:c>
      <x:c r="B91" s="8" t="str">
        <x:f>IF(Teams!C4="Yes",IF('Green'!A17="","",'Green'!A17),"")</x:f>
        <x:v>North End</x:v>
      </x:c>
      <x:c r="C91" s="8" t="str">
        <x:f>IF(Teams!C4="Yes",IF('Green'!B17="","",'Green'!B17),"")</x:f>
        <x:v>Not opened</x:v>
      </x:c>
      <x:c r="D91" s="18" t="str">
        <x:f>IF(Teams!C4="Yes",IF('Green'!C17="","",'Green'!C17),"")</x:f>
      </x:c>
      <x:c r="E91" s="20" t="str">
        <x:f>IF(Teams!C4="Yes",IF('Green'!G17="","",'Green'!G17),"")</x:f>
        <x:v>north-end</x:v>
      </x:c>
    </x:row>
    <x:row r="92" ht="24" customHeight="1">
      <x:c r="A92" s="8" t="str">
        <x:f>IF(Teams!C4="Yes",IF('Green'!F18="","",'Green'!F18),"")</x:f>
        <x:v>Green</x:v>
      </x:c>
      <x:c r="B92" s="8" t="str">
        <x:f>IF(Teams!C4="Yes",IF('Green'!A18="","",'Green'!A18),"")</x:f>
        <x:v>Roslindale</x:v>
      </x:c>
      <x:c r="C92" s="8" t="str">
        <x:f>IF(Teams!C4="Yes",IF('Green'!B18="","",'Green'!B18),"")</x:f>
        <x:v>Not opened</x:v>
      </x:c>
      <x:c r="D92" s="18" t="str">
        <x:f>IF(Teams!C4="Yes",IF('Green'!C18="","",'Green'!C18),"")</x:f>
      </x:c>
      <x:c r="E92" s="20" t="str">
        <x:f>IF(Teams!C4="Yes",IF('Green'!G18="","",'Green'!G18),"")</x:f>
        <x:v>roslindale</x:v>
      </x:c>
    </x:row>
    <x:row r="93" ht="24" customHeight="1">
      <x:c r="A93" s="8" t="str">
        <x:f>IF(Teams!C4="Yes",IF('Green'!F19="","",'Green'!F19),"")</x:f>
        <x:v>Green</x:v>
      </x:c>
      <x:c r="B93" s="8" t="str">
        <x:f>IF(Teams!C4="Yes",IF('Green'!A19="","",'Green'!A19),"")</x:f>
        <x:v>Roxbury</x:v>
      </x:c>
      <x:c r="C93" s="8" t="str">
        <x:f>IF(Teams!C4="Yes",IF('Green'!B19="","",'Green'!B19),"")</x:f>
        <x:v>Not opened</x:v>
      </x:c>
      <x:c r="D93" s="18" t="str">
        <x:f>IF(Teams!C4="Yes",IF('Green'!C19="","",'Green'!C19),"")</x:f>
      </x:c>
      <x:c r="E93" s="20" t="str">
        <x:f>IF(Teams!C4="Yes",IF('Green'!G19="","",'Green'!G19),"")</x:f>
        <x:v>roxbury</x:v>
      </x:c>
    </x:row>
    <x:row r="94" ht="24" customHeight="1">
      <x:c r="A94" s="8" t="str">
        <x:f>IF(Teams!C4="Yes",IF('Green'!F20="","",'Green'!F20),"")</x:f>
        <x:v>Green</x:v>
      </x:c>
      <x:c r="B94" s="8" t="str">
        <x:f>IF(Teams!C4="Yes",IF('Green'!A20="","",'Green'!A20),"")</x:f>
        <x:v>South Boston</x:v>
      </x:c>
      <x:c r="C94" s="8" t="str">
        <x:f>IF(Teams!C4="Yes",IF('Green'!B20="","",'Green'!B20),"")</x:f>
        <x:v>Not opened</x:v>
      </x:c>
      <x:c r="D94" s="18" t="str">
        <x:f>IF(Teams!C4="Yes",IF('Green'!C20="","",'Green'!C20),"")</x:f>
      </x:c>
      <x:c r="E94" s="20" t="str">
        <x:f>IF(Teams!C4="Yes",IF('Green'!G20="","",'Green'!G20),"")</x:f>
        <x:v>south-boston</x:v>
      </x:c>
    </x:row>
    <x:row r="95" ht="24" customHeight="1">
      <x:c r="A95" s="8" t="str">
        <x:f>IF(Teams!C4="Yes",IF('Green'!F21="","",'Green'!F21),"")</x:f>
        <x:v>Green</x:v>
      </x:c>
      <x:c r="B95" s="8" t="str">
        <x:f>IF(Teams!C4="Yes",IF('Green'!A21="","",'Green'!A21),"")</x:f>
        <x:v>South End</x:v>
      </x:c>
      <x:c r="C95" s="8" t="str">
        <x:f>IF(Teams!C4="Yes",IF('Green'!B21="","",'Green'!B21),"")</x:f>
        <x:v>Not opened</x:v>
      </x:c>
      <x:c r="D95" s="18" t="str">
        <x:f>IF(Teams!C4="Yes",IF('Green'!C21="","",'Green'!C21),"")</x:f>
      </x:c>
      <x:c r="E95" s="20" t="str">
        <x:f>IF(Teams!C4="Yes",IF('Green'!G21="","",'Green'!G21),"")</x:f>
        <x:v>south-end</x:v>
      </x:c>
    </x:row>
    <x:row r="96" ht="24" customHeight="1">
      <x:c r="A96" s="8" t="str">
        <x:f>IF(Teams!C4="Yes",IF('Green'!F22="","",'Green'!F22),"")</x:f>
        <x:v>Green</x:v>
      </x:c>
      <x:c r="B96" s="8" t="str">
        <x:f>IF(Teams!C4="Yes",IF('Green'!A22="","",'Green'!A22),"")</x:f>
        <x:v>West End</x:v>
      </x:c>
      <x:c r="C96" s="8" t="str">
        <x:f>IF(Teams!C4="Yes",IF('Green'!B22="","",'Green'!B22),"")</x:f>
        <x:v>Not opened</x:v>
      </x:c>
      <x:c r="D96" s="18" t="str">
        <x:f>IF(Teams!C4="Yes",IF('Green'!C22="","",'Green'!C22),"")</x:f>
      </x:c>
      <x:c r="E96" s="20" t="str">
        <x:f>IF(Teams!C4="Yes",IF('Green'!G22="","",'Green'!G22),"")</x:f>
        <x:v>west-end</x:v>
      </x:c>
    </x:row>
    <x:row r="97" ht="24" customHeight="1">
      <x:c r="A97" s="8" t="str">
        <x:f>IF(Teams!C4="Yes",IF('Green'!F23="","",'Green'!F23),"")</x:f>
        <x:v>Green</x:v>
      </x:c>
      <x:c r="B97" s="8" t="str">
        <x:f>IF(Teams!C4="Yes",IF('Green'!A23="","",'Green'!A23),"")</x:f>
        <x:v>West Roxbury</x:v>
      </x:c>
      <x:c r="C97" s="8" t="str">
        <x:f>IF(Teams!C4="Yes",IF('Green'!B23="","",'Green'!B23),"")</x:f>
        <x:v>Not opened</x:v>
      </x:c>
      <x:c r="D97" s="18" t="str">
        <x:f>IF(Teams!C4="Yes",IF('Green'!C23="","",'Green'!C23),"")</x:f>
      </x:c>
      <x:c r="E97" s="20" t="str">
        <x:f>IF(Teams!C4="Yes",IF('Green'!G23="","",'Green'!G23),"")</x:f>
        <x:v>west-roxbury</x:v>
      </x:c>
    </x:row>
    <x:row r="98" ht="24" customHeight="1">
      <x:c r="A98" s="8" t="str">
        <x:f>IF(Teams!C4="Yes",IF('Green'!F24="","",'Green'!F24),"")</x:f>
        <x:v>Green</x:v>
      </x:c>
      <x:c r="B98" s="8" t="str">
        <x:f>IF(Teams!C4="Yes",IF('Green'!A24="","",'Green'!A24),"")</x:f>
        <x:v>Seaport</x:v>
      </x:c>
      <x:c r="C98" s="8" t="str">
        <x:f>IF(Teams!C4="Yes",IF('Green'!B24="","",'Green'!B24),"")</x:f>
        <x:v>Not opened</x:v>
      </x:c>
      <x:c r="D98" s="18" t="str">
        <x:f>IF(Teams!C4="Yes",IF('Green'!C24="","",'Green'!C24),"")</x:f>
      </x:c>
      <x:c r="E98" s="20" t="str">
        <x:f>IF(Teams!C4="Yes",IF('Green'!G24="","",'Green'!G24),"")</x:f>
        <x:v>seaport</x:v>
      </x:c>
    </x:row>
    <x:row r="99" ht="24" customHeight="1">
      <x:c r="A99" s="8" t="str">
        <x:f>IF(Teams!C4="Yes",IF('Green'!F25="","",'Green'!F25),"")</x:f>
        <x:v>Green</x:v>
      </x:c>
      <x:c r="B99" s="8" t="str">
        <x:f>IF(Teams!C4="Yes",IF('Green'!A25="","",'Green'!A25),"")</x:f>
        <x:v>Cambridge</x:v>
      </x:c>
      <x:c r="C99" s="8" t="str">
        <x:f>IF(Teams!C4="Yes",IF('Green'!B25="","",'Green'!B25),"")</x:f>
        <x:v>Not opened</x:v>
      </x:c>
      <x:c r="D99" s="18" t="str">
        <x:f>IF(Teams!C4="Yes",IF('Green'!C25="","",'Green'!C25),"")</x:f>
      </x:c>
      <x:c r="E99" s="20" t="str">
        <x:f>IF(Teams!C4="Yes",IF('Green'!G25="","",'Green'!G25),"")</x:f>
        <x:v>cambridge</x:v>
      </x:c>
    </x:row>
    <x:row r="100" ht="24" customHeight="1">
      <x:c r="A100" s="8" t="str">
        <x:f>IF(Teams!C4="Yes",IF('Green'!F26="","",'Green'!F26),"")</x:f>
        <x:v>Green</x:v>
      </x:c>
      <x:c r="B100" s="8" t="str">
        <x:f>IF(Teams!C4="Yes",IF('Green'!A26="","",'Green'!A26),"")</x:f>
        <x:v>Somerville</x:v>
      </x:c>
      <x:c r="C100" s="8" t="str">
        <x:f>IF(Teams!C4="Yes",IF('Green'!B26="","",'Green'!B26),"")</x:f>
        <x:v>Not opened</x:v>
      </x:c>
      <x:c r="D100" s="18" t="str">
        <x:f>IF(Teams!C4="Yes",IF('Green'!C26="","",'Green'!C26),"")</x:f>
      </x:c>
      <x:c r="E100" s="20" t="str">
        <x:f>IF(Teams!C4="Yes",IF('Green'!G26="","",'Green'!G26),"")</x:f>
        <x:v>somerville</x:v>
      </x:c>
    </x:row>
    <x:row r="101" ht="24" customHeight="1">
      <x:c r="A101" s="8" t="str">
        <x:f>IF(Teams!C4="Yes",IF('Green'!F27="","",'Green'!F27),"")</x:f>
        <x:v>Green</x:v>
      </x:c>
      <x:c r="B101" s="8" t="str">
        <x:f>IF(Teams!C4="Yes",IF('Green'!A27="","",'Green'!A27),"")</x:f>
        <x:v>Everett</x:v>
      </x:c>
      <x:c r="C101" s="8" t="str">
        <x:f>IF(Teams!C4="Yes",IF('Green'!B27="","",'Green'!B27),"")</x:f>
        <x:v>Not opened</x:v>
      </x:c>
      <x:c r="D101" s="18" t="str">
        <x:f>IF(Teams!C4="Yes",IF('Green'!C27="","",'Green'!C27),"")</x:f>
      </x:c>
      <x:c r="E101" s="20" t="str">
        <x:f>IF(Teams!C4="Yes",IF('Green'!G27="","",'Green'!G27),"")</x:f>
        <x:v>everett</x:v>
      </x:c>
    </x:row>
    <x:row r="102" ht="24" customHeight="1">
      <x:c r="A102" s="8" t="str">
        <x:f>IF(Teams!C4="Yes",IF('Green'!F28="","",'Green'!F28),"")</x:f>
        <x:v>Green</x:v>
      </x:c>
      <x:c r="B102" s="8" t="str">
        <x:f>IF(Teams!C4="Yes",IF('Green'!A28="","",'Green'!A28),"")</x:f>
        <x:v>Chelsea</x:v>
      </x:c>
      <x:c r="C102" s="8" t="str">
        <x:f>IF(Teams!C4="Yes",IF('Green'!B28="","",'Green'!B28),"")</x:f>
        <x:v>Not opened</x:v>
      </x:c>
      <x:c r="D102" s="18" t="str">
        <x:f>IF(Teams!C4="Yes",IF('Green'!C28="","",'Green'!C28),"")</x:f>
      </x:c>
      <x:c r="E102" s="20" t="str">
        <x:f>IF(Teams!C4="Yes",IF('Green'!G28="","",'Green'!G28),"")</x:f>
        <x:v>chelsea</x:v>
      </x:c>
    </x:row>
    <x:row r="103" ht="24" customHeight="1">
      <x:c r="A103" s="8" t="str">
        <x:f>IF(Teams!C4="Yes",IF('Green'!F29="","",'Green'!F29),"")</x:f>
        <x:v>Green</x:v>
      </x:c>
      <x:c r="B103" s="8" t="str">
        <x:f>IF(Teams!C4="Yes",IF('Green'!A29="","",'Green'!A29),"")</x:f>
        <x:v>Revere</x:v>
      </x:c>
      <x:c r="C103" s="8" t="str">
        <x:f>IF(Teams!C4="Yes",IF('Green'!B29="","",'Green'!B29),"")</x:f>
        <x:v>Not opened</x:v>
      </x:c>
      <x:c r="D103" s="18" t="str">
        <x:f>IF(Teams!C4="Yes",IF('Green'!C29="","",'Green'!C29),"")</x:f>
      </x:c>
      <x:c r="E103" s="20" t="str">
        <x:f>IF(Teams!C4="Yes",IF('Green'!G29="","",'Green'!G29),"")</x:f>
        <x:v>revere</x:v>
      </x:c>
    </x:row>
    <x:row r="104" ht="24" customHeight="1">
      <x:c r="A104" s="8" t="str">
        <x:f>IF(Teams!C4="Yes",IF('Green'!F30="","",'Green'!F30),"")</x:f>
        <x:v>Green</x:v>
      </x:c>
      <x:c r="B104" s="8" t="str">
        <x:f>IF(Teams!C4="Yes",IF('Green'!A30="","",'Green'!A30),"")</x:f>
        <x:v>Malden</x:v>
      </x:c>
      <x:c r="C104" s="8" t="str">
        <x:f>IF(Teams!C4="Yes",IF('Green'!B30="","",'Green'!B30),"")</x:f>
        <x:v>Not opened</x:v>
      </x:c>
      <x:c r="D104" s="18" t="str">
        <x:f>IF(Teams!C4="Yes",IF('Green'!C30="","",'Green'!C30),"")</x:f>
      </x:c>
      <x:c r="E104" s="20" t="str">
        <x:f>IF(Teams!C4="Yes",IF('Green'!G30="","",'Green'!G30),"")</x:f>
        <x:v>malden</x:v>
      </x:c>
    </x:row>
    <x:row r="105" ht="24" customHeight="1">
      <x:c r="A105" s="8" t="str">
        <x:f>IF(Teams!C4="Yes",IF('Green'!F31="","",'Green'!F31),"")</x:f>
        <x:v>Green</x:v>
      </x:c>
      <x:c r="B105" s="8" t="str">
        <x:f>IF(Teams!C4="Yes",IF('Green'!A31="","",'Green'!A31),"")</x:f>
        <x:v>Medford</x:v>
      </x:c>
      <x:c r="C105" s="8" t="str">
        <x:f>IF(Teams!C4="Yes",IF('Green'!B31="","",'Green'!B31),"")</x:f>
        <x:v>Not opened</x:v>
      </x:c>
      <x:c r="D105" s="18" t="str">
        <x:f>IF(Teams!C4="Yes",IF('Green'!C31="","",'Green'!C31),"")</x:f>
      </x:c>
      <x:c r="E105" s="20" t="str">
        <x:f>IF(Teams!C4="Yes",IF('Green'!G31="","",'Green'!G31),"")</x:f>
        <x:v>medford</x:v>
      </x:c>
    </x:row>
    <x:row r="106" ht="24" customHeight="1">
      <x:c r="A106" s="8" t="str">
        <x:f>IF(Teams!C4="Yes",IF('Green'!F32="","",'Green'!F32),"")</x:f>
        <x:v>Green</x:v>
      </x:c>
      <x:c r="B106" s="8" t="str">
        <x:f>IF(Teams!C4="Yes",IF('Green'!A32="","",'Green'!A32),"")</x:f>
        <x:v>Brookline</x:v>
      </x:c>
      <x:c r="C106" s="8" t="str">
        <x:f>IF(Teams!C4="Yes",IF('Green'!B32="","",'Green'!B32),"")</x:f>
        <x:v>Not opened</x:v>
      </x:c>
      <x:c r="D106" s="18" t="str">
        <x:f>IF(Teams!C4="Yes",IF('Green'!C32="","",'Green'!C32),"")</x:f>
      </x:c>
      <x:c r="E106" s="20" t="str">
        <x:f>IF(Teams!C4="Yes",IF('Green'!G32="","",'Green'!G32),"")</x:f>
        <x:v>brookline</x:v>
      </x:c>
    </x:row>
    <x:row r="107" ht="24" customHeight="1">
      <x:c r="A107" s="8" t="str">
        <x:f>IF(Teams!C4="Yes",IF('Green'!F33="","",'Green'!F33),"")</x:f>
        <x:v>Green</x:v>
      </x:c>
      <x:c r="B107" s="8" t="str">
        <x:f>IF(Teams!C4="Yes",IF('Green'!A33="","",'Green'!A33),"")</x:f>
        <x:v>Newton</x:v>
      </x:c>
      <x:c r="C107" s="8" t="str">
        <x:f>IF(Teams!C4="Yes",IF('Green'!B33="","",'Green'!B33),"")</x:f>
        <x:v>Not opened</x:v>
      </x:c>
      <x:c r="D107" s="18" t="str">
        <x:f>IF(Teams!C4="Yes",IF('Green'!C33="","",'Green'!C33),"")</x:f>
      </x:c>
      <x:c r="E107" s="20" t="str">
        <x:f>IF(Teams!C4="Yes",IF('Green'!G33="","",'Green'!G33),"")</x:f>
        <x:v>newton</x:v>
      </x:c>
    </x:row>
    <x:row r="108" ht="24" customHeight="1">
      <x:c r="A108" s="8" t="str">
        <x:f>IF(Teams!C4="Yes",IF('Green'!F34="","",'Green'!F34),"")</x:f>
        <x:v>Green</x:v>
      </x:c>
      <x:c r="B108" s="8" t="str">
        <x:f>IF(Teams!C4="Yes",IF('Green'!A34="","",'Green'!A34),"")</x:f>
        <x:v>Quincy</x:v>
      </x:c>
      <x:c r="C108" s="8" t="str">
        <x:f>IF(Teams!C4="Yes",IF('Green'!B34="","",'Green'!B34),"")</x:f>
        <x:v>Not opened</x:v>
      </x:c>
      <x:c r="D108" s="18" t="str">
        <x:f>IF(Teams!C4="Yes",IF('Green'!C34="","",'Green'!C34),"")</x:f>
      </x:c>
      <x:c r="E108" s="20" t="str">
        <x:f>IF(Teams!C4="Yes",IF('Green'!G34="","",'Green'!G34),"")</x:f>
        <x:v>quincy</x:v>
      </x:c>
    </x:row>
    <x:row r="109" ht="24" customHeight="1">
      <x:c r="A109" s="8" t="str">
        <x:f>IF(Teams!C4="Yes",IF('Green'!F35="","",'Green'!F35),"")</x:f>
        <x:v>Green</x:v>
      </x:c>
      <x:c r="B109" s="8" t="str">
        <x:f>IF(Teams!C4="Yes",IF('Green'!A35="","",'Green'!A35),"")</x:f>
        <x:v>Braintree</x:v>
      </x:c>
      <x:c r="C109" s="8" t="str">
        <x:f>IF(Teams!C4="Yes",IF('Green'!B35="","",'Green'!B35),"")</x:f>
        <x:v>Not opened</x:v>
      </x:c>
      <x:c r="D109" s="18" t="str">
        <x:f>IF(Teams!C4="Yes",IF('Green'!C35="","",'Green'!C35),"")</x:f>
      </x:c>
      <x:c r="E109" s="20" t="str">
        <x:f>IF(Teams!C4="Yes",IF('Green'!G35="","",'Green'!G35),"")</x:f>
        <x:v>braintree</x:v>
      </x:c>
    </x:row>
    <x:row r="110" ht="24" customHeight="1">
      <x:c r="A110" s="8" t="str">
        <x:f>IF(Teams!C4="Yes",IF('Green'!F36="","",'Green'!F36),"")</x:f>
        <x:v>Green</x:v>
      </x:c>
      <x:c r="B110" s="8" t="str">
        <x:f>IF(Teams!C4="Yes",IF('Green'!A36="","",'Green'!A36),"")</x:f>
        <x:v>Winthrop</x:v>
      </x:c>
      <x:c r="C110" s="8" t="str">
        <x:f>IF(Teams!C4="Yes",IF('Green'!B36="","",'Green'!B36),"")</x:f>
        <x:v>Not opened</x:v>
      </x:c>
      <x:c r="D110" s="18" t="str">
        <x:f>IF(Teams!C4="Yes",IF('Green'!C36="","",'Green'!C36),"")</x:f>
      </x:c>
      <x:c r="E110" s="20" t="str">
        <x:f>IF(Teams!C4="Yes",IF('Green'!G36="","",'Green'!G36),"")</x:f>
        <x:v>winthrop</x:v>
      </x:c>
    </x:row>
    <x:row r="111" ht="24" customHeight="1">
      <x:c r="A111" s="8" t="str">
        <x:f>IF(Teams!C4="Yes",IF('Green'!F37="","",'Green'!F37),"")</x:f>
        <x:v>Green</x:v>
      </x:c>
      <x:c r="B111" s="8" t="str">
        <x:f>IF(Teams!C4="Yes",IF('Green'!A37="","",'Green'!A37),"")</x:f>
        <x:v>Milton</x:v>
      </x:c>
      <x:c r="C111" s="8" t="str">
        <x:f>IF(Teams!C4="Yes",IF('Green'!B37="","",'Green'!B37),"")</x:f>
        <x:v>Not opened</x:v>
      </x:c>
      <x:c r="D111" s="18" t="str">
        <x:f>IF(Teams!C4="Yes",IF('Green'!C37="","",'Green'!C37),"")</x:f>
      </x:c>
      <x:c r="E111" s="20" t="str">
        <x:f>IF(Teams!C4="Yes",IF('Green'!G37="","",'Green'!G37),"")</x:f>
        <x:v>milton</x:v>
      </x:c>
    </x:row>
    <x:row r="112" ht="24" customHeight="1">
      <x:c r="A112" s="8" t="str">
        <x:f>IF(Teams!C4="Yes",IF('Green'!F38="","",'Green'!F38),"")</x:f>
        <x:v>Green</x:v>
      </x:c>
      <x:c r="B112" s="8" t="str">
        <x:f>IF(Teams!C4="Yes",IF('Green'!A38="","",'Green'!A38),"")</x:f>
        <x:v>Longwood</x:v>
      </x:c>
      <x:c r="C112" s="8" t="str">
        <x:f>IF(Teams!C4="Yes",IF('Green'!B38="","",'Green'!B38),"")</x:f>
        <x:v>Not opened</x:v>
      </x:c>
      <x:c r="D112" s="18" t="str">
        <x:f>IF(Teams!C4="Yes",IF('Green'!C38="","",'Green'!C38),"")</x:f>
      </x:c>
      <x:c r="E112" s="20" t="str">
        <x:f>IF(Teams!C4="Yes",IF('Green'!G38="","",'Green'!G38),"")</x:f>
        <x:v>longwood</x:v>
      </x:c>
    </x:row>
    <x:row r="113" ht="24" customHeight="1">
      <x:c r="A113" s="8" t="str">
        <x:f>IF(Teams!C5="Yes",IF('Purple'!F2="","",'Purple'!F2),"")</x:f>
        <x:v>Purple</x:v>
      </x:c>
      <x:c r="B113" s="8" t="str">
        <x:f>IF(Teams!C5="Yes",IF('Purple'!A2="","",'Purple'!A2),"")</x:f>
        <x:v>Allston</x:v>
      </x:c>
      <x:c r="C113" s="8" t="str">
        <x:f>IF(Teams!C5="Yes",IF('Purple'!B2="","",'Purple'!B2),"")</x:f>
        <x:v>Not opened</x:v>
      </x:c>
      <x:c r="D113" s="18" t="str">
        <x:f>IF(Teams!C5="Yes",IF('Purple'!C2="","",'Purple'!C2),"")</x:f>
      </x:c>
      <x:c r="E113" s="20" t="str">
        <x:f>IF(Teams!C5="Yes",IF('Purple'!G2="","",'Purple'!G2),"")</x:f>
        <x:v>allston</x:v>
      </x:c>
    </x:row>
    <x:row r="114" ht="24" customHeight="1">
      <x:c r="A114" s="8" t="str">
        <x:f>IF(Teams!C5="Yes",IF('Purple'!F3="","",'Purple'!F3),"")</x:f>
        <x:v>Purple</x:v>
      </x:c>
      <x:c r="B114" s="8" t="str">
        <x:f>IF(Teams!C5="Yes",IF('Purple'!A3="","",'Purple'!A3),"")</x:f>
        <x:v>Back Bay</x:v>
      </x:c>
      <x:c r="C114" s="8" t="str">
        <x:f>IF(Teams!C5="Yes",IF('Purple'!B3="","",'Purple'!B3),"")</x:f>
        <x:v>Not opened</x:v>
      </x:c>
      <x:c r="D114" s="18" t="str">
        <x:f>IF(Teams!C5="Yes",IF('Purple'!C3="","",'Purple'!C3),"")</x:f>
      </x:c>
      <x:c r="E114" s="20" t="str">
        <x:f>IF(Teams!C5="Yes",IF('Purple'!G3="","",'Purple'!G3),"")</x:f>
        <x:v>back-bay</x:v>
      </x:c>
    </x:row>
    <x:row r="115" ht="24" customHeight="1">
      <x:c r="A115" s="8" t="str">
        <x:f>IF(Teams!C5="Yes",IF('Purple'!F4="","",'Purple'!F4),"")</x:f>
        <x:v>Purple</x:v>
      </x:c>
      <x:c r="B115" s="8" t="str">
        <x:f>IF(Teams!C5="Yes",IF('Purple'!A4="","",'Purple'!A4),"")</x:f>
        <x:v>Bay Village</x:v>
      </x:c>
      <x:c r="C115" s="8" t="str">
        <x:f>IF(Teams!C5="Yes",IF('Purple'!B4="","",'Purple'!B4),"")</x:f>
        <x:v>Not opened</x:v>
      </x:c>
      <x:c r="D115" s="18" t="str">
        <x:f>IF(Teams!C5="Yes",IF('Purple'!C4="","",'Purple'!C4),"")</x:f>
      </x:c>
      <x:c r="E115" s="20" t="str">
        <x:f>IF(Teams!C5="Yes",IF('Purple'!G4="","",'Purple'!G4),"")</x:f>
        <x:v>bay-village</x:v>
      </x:c>
    </x:row>
    <x:row r="116" ht="24" customHeight="1">
      <x:c r="A116" s="8" t="str">
        <x:f>IF(Teams!C5="Yes",IF('Purple'!F5="","",'Purple'!F5),"")</x:f>
        <x:v>Purple</x:v>
      </x:c>
      <x:c r="B116" s="8" t="str">
        <x:f>IF(Teams!C5="Yes",IF('Purple'!A5="","",'Purple'!A5),"")</x:f>
        <x:v>Beacon Hill</x:v>
      </x:c>
      <x:c r="C116" s="8" t="str">
        <x:f>IF(Teams!C5="Yes",IF('Purple'!B5="","",'Purple'!B5),"")</x:f>
        <x:v>Not opened</x:v>
      </x:c>
      <x:c r="D116" s="18" t="str">
        <x:f>IF(Teams!C5="Yes",IF('Purple'!C5="","",'Purple'!C5),"")</x:f>
      </x:c>
      <x:c r="E116" s="20" t="str">
        <x:f>IF(Teams!C5="Yes",IF('Purple'!G5="","",'Purple'!G5),"")</x:f>
        <x:v>beacon-hill</x:v>
      </x:c>
    </x:row>
    <x:row r="117" ht="24" customHeight="1">
      <x:c r="A117" s="8" t="str">
        <x:f>IF(Teams!C5="Yes",IF('Purple'!F6="","",'Purple'!F6),"")</x:f>
        <x:v>Purple</x:v>
      </x:c>
      <x:c r="B117" s="8" t="str">
        <x:f>IF(Teams!C5="Yes",IF('Purple'!A6="","",'Purple'!A6),"")</x:f>
        <x:v>Brighton</x:v>
      </x:c>
      <x:c r="C117" s="8" t="str">
        <x:f>IF(Teams!C5="Yes",IF('Purple'!B6="","",'Purple'!B6),"")</x:f>
        <x:v>Not opened</x:v>
      </x:c>
      <x:c r="D117" s="18" t="str">
        <x:f>IF(Teams!C5="Yes",IF('Purple'!C6="","",'Purple'!C6),"")</x:f>
      </x:c>
      <x:c r="E117" s="20" t="str">
        <x:f>IF(Teams!C5="Yes",IF('Purple'!G6="","",'Purple'!G6),"")</x:f>
        <x:v>brighton</x:v>
      </x:c>
    </x:row>
    <x:row r="118" ht="24" customHeight="1">
      <x:c r="A118" s="8" t="str">
        <x:f>IF(Teams!C5="Yes",IF('Purple'!F7="","",'Purple'!F7),"")</x:f>
        <x:v>Purple</x:v>
      </x:c>
      <x:c r="B118" s="8" t="str">
        <x:f>IF(Teams!C5="Yes",IF('Purple'!A7="","",'Purple'!A7),"")</x:f>
        <x:v>Charlestown</x:v>
      </x:c>
      <x:c r="C118" s="8" t="str">
        <x:f>IF(Teams!C5="Yes",IF('Purple'!B7="","",'Purple'!B7),"")</x:f>
        <x:v>Not opened</x:v>
      </x:c>
      <x:c r="D118" s="18" t="str">
        <x:f>IF(Teams!C5="Yes",IF('Purple'!C7="","",'Purple'!C7),"")</x:f>
      </x:c>
      <x:c r="E118" s="20" t="str">
        <x:f>IF(Teams!C5="Yes",IF('Purple'!G7="","",'Purple'!G7),"")</x:f>
        <x:v>charlestown</x:v>
      </x:c>
    </x:row>
    <x:row r="119" ht="24" customHeight="1">
      <x:c r="A119" s="8" t="str">
        <x:f>IF(Teams!C5="Yes",IF('Purple'!F8="","",'Purple'!F8),"")</x:f>
        <x:v>Purple</x:v>
      </x:c>
      <x:c r="B119" s="8" t="str">
        <x:f>IF(Teams!C5="Yes",IF('Purple'!A8="","",'Purple'!A8),"")</x:f>
        <x:v>Chinatown</x:v>
      </x:c>
      <x:c r="C119" s="8" t="str">
        <x:f>IF(Teams!C5="Yes",IF('Purple'!B8="","",'Purple'!B8),"")</x:f>
        <x:v>Not opened</x:v>
      </x:c>
      <x:c r="D119" s="18" t="str">
        <x:f>IF(Teams!C5="Yes",IF('Purple'!C8="","",'Purple'!C8),"")</x:f>
      </x:c>
      <x:c r="E119" s="20" t="str">
        <x:f>IF(Teams!C5="Yes",IF('Purple'!G8="","",'Purple'!G8),"")</x:f>
        <x:v>chinatown-leather-district</x:v>
      </x:c>
    </x:row>
    <x:row r="120" ht="24" customHeight="1">
      <x:c r="A120" s="8" t="str">
        <x:f>IF(Teams!C5="Yes",IF('Purple'!F9="","",'Purple'!F9),"")</x:f>
        <x:v>Purple</x:v>
      </x:c>
      <x:c r="B120" s="8" t="str">
        <x:f>IF(Teams!C5="Yes",IF('Purple'!A9="","",'Purple'!A9),"")</x:f>
        <x:v>Dorchester</x:v>
      </x:c>
      <x:c r="C120" s="8" t="str">
        <x:f>IF(Teams!C5="Yes",IF('Purple'!B9="","",'Purple'!B9),"")</x:f>
        <x:v>Not opened</x:v>
      </x:c>
      <x:c r="D120" s="18" t="str">
        <x:f>IF(Teams!C5="Yes",IF('Purple'!C9="","",'Purple'!C9),"")</x:f>
      </x:c>
      <x:c r="E120" s="20" t="str">
        <x:f>IF(Teams!C5="Yes",IF('Purple'!G9="","",'Purple'!G9),"")</x:f>
        <x:v>dorchester</x:v>
      </x:c>
    </x:row>
    <x:row r="121" ht="24" customHeight="1">
      <x:c r="A121" s="8" t="str">
        <x:f>IF(Teams!C5="Yes",IF('Purple'!F10="","",'Purple'!F10),"")</x:f>
        <x:v>Purple</x:v>
      </x:c>
      <x:c r="B121" s="8" t="str">
        <x:f>IF(Teams!C5="Yes",IF('Purple'!A10="","",'Purple'!A10),"")</x:f>
        <x:v>Downtown</x:v>
      </x:c>
      <x:c r="C121" s="8" t="str">
        <x:f>IF(Teams!C5="Yes",IF('Purple'!B10="","",'Purple'!B10),"")</x:f>
        <x:v>Not opened</x:v>
      </x:c>
      <x:c r="D121" s="18" t="str">
        <x:f>IF(Teams!C5="Yes",IF('Purple'!C10="","",'Purple'!C10),"")</x:f>
      </x:c>
      <x:c r="E121" s="20" t="str">
        <x:f>IF(Teams!C5="Yes",IF('Purple'!G10="","",'Purple'!G10),"")</x:f>
        <x:v>downtown</x:v>
      </x:c>
    </x:row>
    <x:row r="122" ht="24" customHeight="1">
      <x:c r="A122" s="8" t="str">
        <x:f>IF(Teams!C5="Yes",IF('Purple'!F11="","",'Purple'!F11),"")</x:f>
        <x:v>Purple</x:v>
      </x:c>
      <x:c r="B122" s="8" t="str">
        <x:f>IF(Teams!C5="Yes",IF('Purple'!A11="","",'Purple'!A11),"")</x:f>
        <x:v>East Boston</x:v>
      </x:c>
      <x:c r="C122" s="8" t="str">
        <x:f>IF(Teams!C5="Yes",IF('Purple'!B11="","",'Purple'!B11),"")</x:f>
        <x:v>Not opened</x:v>
      </x:c>
      <x:c r="D122" s="18" t="str">
        <x:f>IF(Teams!C5="Yes",IF('Purple'!C11="","",'Purple'!C11),"")</x:f>
      </x:c>
      <x:c r="E122" s="20" t="str">
        <x:f>IF(Teams!C5="Yes",IF('Purple'!G11="","",'Purple'!G11),"")</x:f>
        <x:v>east-boston</x:v>
      </x:c>
    </x:row>
    <x:row r="123" ht="24" customHeight="1">
      <x:c r="A123" s="8" t="str">
        <x:f>IF(Teams!C5="Yes",IF('Purple'!F12="","",'Purple'!F12),"")</x:f>
        <x:v>Purple</x:v>
      </x:c>
      <x:c r="B123" s="8" t="str">
        <x:f>IF(Teams!C5="Yes",IF('Purple'!A12="","",'Purple'!A12),"")</x:f>
        <x:v>Fenway–Kenmore</x:v>
      </x:c>
      <x:c r="C123" s="8" t="str">
        <x:f>IF(Teams!C5="Yes",IF('Purple'!B12="","",'Purple'!B12),"")</x:f>
        <x:v>Not opened</x:v>
      </x:c>
      <x:c r="D123" s="18" t="str">
        <x:f>IF(Teams!C5="Yes",IF('Purple'!C12="","",'Purple'!C12),"")</x:f>
      </x:c>
      <x:c r="E123" s="20" t="str">
        <x:f>IF(Teams!C5="Yes",IF('Purple'!G12="","",'Purple'!G12),"")</x:f>
        <x:v>fenway-kenmore</x:v>
      </x:c>
    </x:row>
    <x:row r="124" ht="24" customHeight="1">
      <x:c r="A124" s="8" t="str">
        <x:f>IF(Teams!C5="Yes",IF('Purple'!F13="","",'Purple'!F13),"")</x:f>
        <x:v>Purple</x:v>
      </x:c>
      <x:c r="B124" s="8" t="str">
        <x:f>IF(Teams!C5="Yes",IF('Purple'!A13="","",'Purple'!A13),"")</x:f>
        <x:v>Hyde Park</x:v>
      </x:c>
      <x:c r="C124" s="8" t="str">
        <x:f>IF(Teams!C5="Yes",IF('Purple'!B13="","",'Purple'!B13),"")</x:f>
        <x:v>Not opened</x:v>
      </x:c>
      <x:c r="D124" s="18" t="str">
        <x:f>IF(Teams!C5="Yes",IF('Purple'!C13="","",'Purple'!C13),"")</x:f>
      </x:c>
      <x:c r="E124" s="20" t="str">
        <x:f>IF(Teams!C5="Yes",IF('Purple'!G13="","",'Purple'!G13),"")</x:f>
        <x:v>hyde-park</x:v>
      </x:c>
    </x:row>
    <x:row r="125" ht="24" customHeight="1">
      <x:c r="A125" s="8" t="str">
        <x:f>IF(Teams!C5="Yes",IF('Purple'!F14="","",'Purple'!F14),"")</x:f>
        <x:v>Purple</x:v>
      </x:c>
      <x:c r="B125" s="8" t="str">
        <x:f>IF(Teams!C5="Yes",IF('Purple'!A14="","",'Purple'!A14),"")</x:f>
        <x:v>Jamaica Plain</x:v>
      </x:c>
      <x:c r="C125" s="8" t="str">
        <x:f>IF(Teams!C5="Yes",IF('Purple'!B14="","",'Purple'!B14),"")</x:f>
        <x:v>Not opened</x:v>
      </x:c>
      <x:c r="D125" s="18" t="str">
        <x:f>IF(Teams!C5="Yes",IF('Purple'!C14="","",'Purple'!C14),"")</x:f>
      </x:c>
      <x:c r="E125" s="20" t="str">
        <x:f>IF(Teams!C5="Yes",IF('Purple'!G14="","",'Purple'!G14),"")</x:f>
        <x:v>jamaica-plain</x:v>
      </x:c>
    </x:row>
    <x:row r="126" ht="24" customHeight="1">
      <x:c r="A126" s="8" t="str">
        <x:f>IF(Teams!C5="Yes",IF('Purple'!F15="","",'Purple'!F15),"")</x:f>
        <x:v>Purple</x:v>
      </x:c>
      <x:c r="B126" s="8" t="str">
        <x:f>IF(Teams!C5="Yes",IF('Purple'!A15="","",'Purple'!A15),"")</x:f>
        <x:v>Mattapan</x:v>
      </x:c>
      <x:c r="C126" s="8" t="str">
        <x:f>IF(Teams!C5="Yes",IF('Purple'!B15="","",'Purple'!B15),"")</x:f>
        <x:v>Not opened</x:v>
      </x:c>
      <x:c r="D126" s="18" t="str">
        <x:f>IF(Teams!C5="Yes",IF('Purple'!C15="","",'Purple'!C15),"")</x:f>
      </x:c>
      <x:c r="E126" s="20" t="str">
        <x:f>IF(Teams!C5="Yes",IF('Purple'!G15="","",'Purple'!G15),"")</x:f>
        <x:v>mattapan</x:v>
      </x:c>
    </x:row>
    <x:row r="127" ht="24" customHeight="1">
      <x:c r="A127" s="8" t="str">
        <x:f>IF(Teams!C5="Yes",IF('Purple'!F16="","",'Purple'!F16),"")</x:f>
        <x:v>Purple</x:v>
      </x:c>
      <x:c r="B127" s="8" t="str">
        <x:f>IF(Teams!C5="Yes",IF('Purple'!A16="","",'Purple'!A16),"")</x:f>
        <x:v>Mission Hill</x:v>
      </x:c>
      <x:c r="C127" s="8" t="str">
        <x:f>IF(Teams!C5="Yes",IF('Purple'!B16="","",'Purple'!B16),"")</x:f>
        <x:v>Not opened</x:v>
      </x:c>
      <x:c r="D127" s="18" t="str">
        <x:f>IF(Teams!C5="Yes",IF('Purple'!C16="","",'Purple'!C16),"")</x:f>
      </x:c>
      <x:c r="E127" s="20" t="str">
        <x:f>IF(Teams!C5="Yes",IF('Purple'!G16="","",'Purple'!G16),"")</x:f>
        <x:v>mission-hill</x:v>
      </x:c>
    </x:row>
    <x:row r="128" ht="24" customHeight="1">
      <x:c r="A128" s="8" t="str">
        <x:f>IF(Teams!C5="Yes",IF('Purple'!F17="","",'Purple'!F17),"")</x:f>
        <x:v>Purple</x:v>
      </x:c>
      <x:c r="B128" s="8" t="str">
        <x:f>IF(Teams!C5="Yes",IF('Purple'!A17="","",'Purple'!A17),"")</x:f>
        <x:v>North End</x:v>
      </x:c>
      <x:c r="C128" s="8" t="str">
        <x:f>IF(Teams!C5="Yes",IF('Purple'!B17="","",'Purple'!B17),"")</x:f>
        <x:v>Not opened</x:v>
      </x:c>
      <x:c r="D128" s="18" t="str">
        <x:f>IF(Teams!C5="Yes",IF('Purple'!C17="","",'Purple'!C17),"")</x:f>
      </x:c>
      <x:c r="E128" s="20" t="str">
        <x:f>IF(Teams!C5="Yes",IF('Purple'!G17="","",'Purple'!G17),"")</x:f>
        <x:v>north-end</x:v>
      </x:c>
    </x:row>
    <x:row r="129" ht="24" customHeight="1">
      <x:c r="A129" s="8" t="str">
        <x:f>IF(Teams!C5="Yes",IF('Purple'!F18="","",'Purple'!F18),"")</x:f>
        <x:v>Purple</x:v>
      </x:c>
      <x:c r="B129" s="8" t="str">
        <x:f>IF(Teams!C5="Yes",IF('Purple'!A18="","",'Purple'!A18),"")</x:f>
        <x:v>Roslindale</x:v>
      </x:c>
      <x:c r="C129" s="8" t="str">
        <x:f>IF(Teams!C5="Yes",IF('Purple'!B18="","",'Purple'!B18),"")</x:f>
        <x:v>Not opened</x:v>
      </x:c>
      <x:c r="D129" s="18" t="str">
        <x:f>IF(Teams!C5="Yes",IF('Purple'!C18="","",'Purple'!C18),"")</x:f>
      </x:c>
      <x:c r="E129" s="20" t="str">
        <x:f>IF(Teams!C5="Yes",IF('Purple'!G18="","",'Purple'!G18),"")</x:f>
        <x:v>roslindale</x:v>
      </x:c>
    </x:row>
    <x:row r="130" ht="24" customHeight="1">
      <x:c r="A130" s="8" t="str">
        <x:f>IF(Teams!C5="Yes",IF('Purple'!F19="","",'Purple'!F19),"")</x:f>
        <x:v>Purple</x:v>
      </x:c>
      <x:c r="B130" s="8" t="str">
        <x:f>IF(Teams!C5="Yes",IF('Purple'!A19="","",'Purple'!A19),"")</x:f>
        <x:v>Roxbury</x:v>
      </x:c>
      <x:c r="C130" s="8" t="str">
        <x:f>IF(Teams!C5="Yes",IF('Purple'!B19="","",'Purple'!B19),"")</x:f>
        <x:v>Not opened</x:v>
      </x:c>
      <x:c r="D130" s="18" t="str">
        <x:f>IF(Teams!C5="Yes",IF('Purple'!C19="","",'Purple'!C19),"")</x:f>
      </x:c>
      <x:c r="E130" s="20" t="str">
        <x:f>IF(Teams!C5="Yes",IF('Purple'!G19="","",'Purple'!G19),"")</x:f>
        <x:v>roxbury</x:v>
      </x:c>
    </x:row>
    <x:row r="131" ht="24" customHeight="1">
      <x:c r="A131" s="8" t="str">
        <x:f>IF(Teams!C5="Yes",IF('Purple'!F20="","",'Purple'!F20),"")</x:f>
        <x:v>Purple</x:v>
      </x:c>
      <x:c r="B131" s="8" t="str">
        <x:f>IF(Teams!C5="Yes",IF('Purple'!A20="","",'Purple'!A20),"")</x:f>
        <x:v>South Boston</x:v>
      </x:c>
      <x:c r="C131" s="8" t="str">
        <x:f>IF(Teams!C5="Yes",IF('Purple'!B20="","",'Purple'!B20),"")</x:f>
        <x:v>Not opened</x:v>
      </x:c>
      <x:c r="D131" s="18" t="str">
        <x:f>IF(Teams!C5="Yes",IF('Purple'!C20="","",'Purple'!C20),"")</x:f>
      </x:c>
      <x:c r="E131" s="20" t="str">
        <x:f>IF(Teams!C5="Yes",IF('Purple'!G20="","",'Purple'!G20),"")</x:f>
        <x:v>south-boston</x:v>
      </x:c>
    </x:row>
    <x:row r="132" ht="24" customHeight="1">
      <x:c r="A132" s="8" t="str">
        <x:f>IF(Teams!C5="Yes",IF('Purple'!F21="","",'Purple'!F21),"")</x:f>
        <x:v>Purple</x:v>
      </x:c>
      <x:c r="B132" s="8" t="str">
        <x:f>IF(Teams!C5="Yes",IF('Purple'!A21="","",'Purple'!A21),"")</x:f>
        <x:v>South End</x:v>
      </x:c>
      <x:c r="C132" s="8" t="str">
        <x:f>IF(Teams!C5="Yes",IF('Purple'!B21="","",'Purple'!B21),"")</x:f>
        <x:v>Not opened</x:v>
      </x:c>
      <x:c r="D132" s="18" t="str">
        <x:f>IF(Teams!C5="Yes",IF('Purple'!C21="","",'Purple'!C21),"")</x:f>
      </x:c>
      <x:c r="E132" s="20" t="str">
        <x:f>IF(Teams!C5="Yes",IF('Purple'!G21="","",'Purple'!G21),"")</x:f>
        <x:v>south-end</x:v>
      </x:c>
    </x:row>
    <x:row r="133" ht="24" customHeight="1">
      <x:c r="A133" s="8" t="str">
        <x:f>IF(Teams!C5="Yes",IF('Purple'!F22="","",'Purple'!F22),"")</x:f>
        <x:v>Purple</x:v>
      </x:c>
      <x:c r="B133" s="8" t="str">
        <x:f>IF(Teams!C5="Yes",IF('Purple'!A22="","",'Purple'!A22),"")</x:f>
        <x:v>West End</x:v>
      </x:c>
      <x:c r="C133" s="8" t="str">
        <x:f>IF(Teams!C5="Yes",IF('Purple'!B22="","",'Purple'!B22),"")</x:f>
        <x:v>Not opened</x:v>
      </x:c>
      <x:c r="D133" s="18" t="str">
        <x:f>IF(Teams!C5="Yes",IF('Purple'!C22="","",'Purple'!C22),"")</x:f>
      </x:c>
      <x:c r="E133" s="20" t="str">
        <x:f>IF(Teams!C5="Yes",IF('Purple'!G22="","",'Purple'!G22),"")</x:f>
        <x:v>west-end</x:v>
      </x:c>
    </x:row>
    <x:row r="134" ht="24" customHeight="1">
      <x:c r="A134" s="8" t="str">
        <x:f>IF(Teams!C5="Yes",IF('Purple'!F23="","",'Purple'!F23),"")</x:f>
        <x:v>Purple</x:v>
      </x:c>
      <x:c r="B134" s="8" t="str">
        <x:f>IF(Teams!C5="Yes",IF('Purple'!A23="","",'Purple'!A23),"")</x:f>
        <x:v>West Roxbury</x:v>
      </x:c>
      <x:c r="C134" s="8" t="str">
        <x:f>IF(Teams!C5="Yes",IF('Purple'!B23="","",'Purple'!B23),"")</x:f>
        <x:v>Not opened</x:v>
      </x:c>
      <x:c r="D134" s="18" t="str">
        <x:f>IF(Teams!C5="Yes",IF('Purple'!C23="","",'Purple'!C23),"")</x:f>
      </x:c>
      <x:c r="E134" s="20" t="str">
        <x:f>IF(Teams!C5="Yes",IF('Purple'!G23="","",'Purple'!G23),"")</x:f>
        <x:v>west-roxbury</x:v>
      </x:c>
    </x:row>
    <x:row r="135" ht="24" customHeight="1">
      <x:c r="A135" s="8" t="str">
        <x:f>IF(Teams!C5="Yes",IF('Purple'!F24="","",'Purple'!F24),"")</x:f>
        <x:v>Purple</x:v>
      </x:c>
      <x:c r="B135" s="8" t="str">
        <x:f>IF(Teams!C5="Yes",IF('Purple'!A24="","",'Purple'!A24),"")</x:f>
        <x:v>Seaport</x:v>
      </x:c>
      <x:c r="C135" s="8" t="str">
        <x:f>IF(Teams!C5="Yes",IF('Purple'!B24="","",'Purple'!B24),"")</x:f>
        <x:v>Not opened</x:v>
      </x:c>
      <x:c r="D135" s="18" t="str">
        <x:f>IF(Teams!C5="Yes",IF('Purple'!C24="","",'Purple'!C24),"")</x:f>
      </x:c>
      <x:c r="E135" s="20" t="str">
        <x:f>IF(Teams!C5="Yes",IF('Purple'!G24="","",'Purple'!G24),"")</x:f>
        <x:v>seaport</x:v>
      </x:c>
    </x:row>
    <x:row r="136" ht="24" customHeight="1">
      <x:c r="A136" s="8" t="str">
        <x:f>IF(Teams!C5="Yes",IF('Purple'!F25="","",'Purple'!F25),"")</x:f>
        <x:v>Purple</x:v>
      </x:c>
      <x:c r="B136" s="8" t="str">
        <x:f>IF(Teams!C5="Yes",IF('Purple'!A25="","",'Purple'!A25),"")</x:f>
        <x:v>Cambridge</x:v>
      </x:c>
      <x:c r="C136" s="8" t="str">
        <x:f>IF(Teams!C5="Yes",IF('Purple'!B25="","",'Purple'!B25),"")</x:f>
        <x:v>Not opened</x:v>
      </x:c>
      <x:c r="D136" s="18" t="str">
        <x:f>IF(Teams!C5="Yes",IF('Purple'!C25="","",'Purple'!C25),"")</x:f>
      </x:c>
      <x:c r="E136" s="20" t="str">
        <x:f>IF(Teams!C5="Yes",IF('Purple'!G25="","",'Purple'!G25),"")</x:f>
        <x:v>cambridge</x:v>
      </x:c>
    </x:row>
    <x:row r="137" ht="24" customHeight="1">
      <x:c r="A137" s="8" t="str">
        <x:f>IF(Teams!C5="Yes",IF('Purple'!F26="","",'Purple'!F26),"")</x:f>
        <x:v>Purple</x:v>
      </x:c>
      <x:c r="B137" s="8" t="str">
        <x:f>IF(Teams!C5="Yes",IF('Purple'!A26="","",'Purple'!A26),"")</x:f>
        <x:v>Somerville</x:v>
      </x:c>
      <x:c r="C137" s="8" t="str">
        <x:f>IF(Teams!C5="Yes",IF('Purple'!B26="","",'Purple'!B26),"")</x:f>
        <x:v>Not opened</x:v>
      </x:c>
      <x:c r="D137" s="18" t="str">
        <x:f>IF(Teams!C5="Yes",IF('Purple'!C26="","",'Purple'!C26),"")</x:f>
      </x:c>
      <x:c r="E137" s="20" t="str">
        <x:f>IF(Teams!C5="Yes",IF('Purple'!G26="","",'Purple'!G26),"")</x:f>
        <x:v>somerville</x:v>
      </x:c>
    </x:row>
    <x:row r="138" ht="24" customHeight="1">
      <x:c r="A138" s="8" t="str">
        <x:f>IF(Teams!C5="Yes",IF('Purple'!F27="","",'Purple'!F27),"")</x:f>
        <x:v>Purple</x:v>
      </x:c>
      <x:c r="B138" s="8" t="str">
        <x:f>IF(Teams!C5="Yes",IF('Purple'!A27="","",'Purple'!A27),"")</x:f>
        <x:v>Everett</x:v>
      </x:c>
      <x:c r="C138" s="8" t="str">
        <x:f>IF(Teams!C5="Yes",IF('Purple'!B27="","",'Purple'!B27),"")</x:f>
        <x:v>Not opened</x:v>
      </x:c>
      <x:c r="D138" s="18" t="str">
        <x:f>IF(Teams!C5="Yes",IF('Purple'!C27="","",'Purple'!C27),"")</x:f>
      </x:c>
      <x:c r="E138" s="20" t="str">
        <x:f>IF(Teams!C5="Yes",IF('Purple'!G27="","",'Purple'!G27),"")</x:f>
        <x:v>everett</x:v>
      </x:c>
    </x:row>
    <x:row r="139" ht="24" customHeight="1">
      <x:c r="A139" s="8" t="str">
        <x:f>IF(Teams!C5="Yes",IF('Purple'!F28="","",'Purple'!F28),"")</x:f>
        <x:v>Purple</x:v>
      </x:c>
      <x:c r="B139" s="8" t="str">
        <x:f>IF(Teams!C5="Yes",IF('Purple'!A28="","",'Purple'!A28),"")</x:f>
        <x:v>Chelsea</x:v>
      </x:c>
      <x:c r="C139" s="8" t="str">
        <x:f>IF(Teams!C5="Yes",IF('Purple'!B28="","",'Purple'!B28),"")</x:f>
        <x:v>Not opened</x:v>
      </x:c>
      <x:c r="D139" s="18" t="str">
        <x:f>IF(Teams!C5="Yes",IF('Purple'!C28="","",'Purple'!C28),"")</x:f>
      </x:c>
      <x:c r="E139" s="20" t="str">
        <x:f>IF(Teams!C5="Yes",IF('Purple'!G28="","",'Purple'!G28),"")</x:f>
        <x:v>chelsea</x:v>
      </x:c>
    </x:row>
    <x:row r="140" ht="24" customHeight="1">
      <x:c r="A140" s="8" t="str">
        <x:f>IF(Teams!C5="Yes",IF('Purple'!F29="","",'Purple'!F29),"")</x:f>
        <x:v>Purple</x:v>
      </x:c>
      <x:c r="B140" s="8" t="str">
        <x:f>IF(Teams!C5="Yes",IF('Purple'!A29="","",'Purple'!A29),"")</x:f>
        <x:v>Revere</x:v>
      </x:c>
      <x:c r="C140" s="8" t="str">
        <x:f>IF(Teams!C5="Yes",IF('Purple'!B29="","",'Purple'!B29),"")</x:f>
        <x:v>Not opened</x:v>
      </x:c>
      <x:c r="D140" s="18" t="str">
        <x:f>IF(Teams!C5="Yes",IF('Purple'!C29="","",'Purple'!C29),"")</x:f>
      </x:c>
      <x:c r="E140" s="20" t="str">
        <x:f>IF(Teams!C5="Yes",IF('Purple'!G29="","",'Purple'!G29),"")</x:f>
        <x:v>revere</x:v>
      </x:c>
    </x:row>
    <x:row r="141" ht="24" customHeight="1">
      <x:c r="A141" s="8" t="str">
        <x:f>IF(Teams!C5="Yes",IF('Purple'!F30="","",'Purple'!F30),"")</x:f>
        <x:v>Purple</x:v>
      </x:c>
      <x:c r="B141" s="8" t="str">
        <x:f>IF(Teams!C5="Yes",IF('Purple'!A30="","",'Purple'!A30),"")</x:f>
        <x:v>Malden</x:v>
      </x:c>
      <x:c r="C141" s="8" t="str">
        <x:f>IF(Teams!C5="Yes",IF('Purple'!B30="","",'Purple'!B30),"")</x:f>
        <x:v>Not opened</x:v>
      </x:c>
      <x:c r="D141" s="18" t="str">
        <x:f>IF(Teams!C5="Yes",IF('Purple'!C30="","",'Purple'!C30),"")</x:f>
      </x:c>
      <x:c r="E141" s="20" t="str">
        <x:f>IF(Teams!C5="Yes",IF('Purple'!G30="","",'Purple'!G30),"")</x:f>
        <x:v>malden</x:v>
      </x:c>
    </x:row>
    <x:row r="142" ht="24" customHeight="1">
      <x:c r="A142" s="8" t="str">
        <x:f>IF(Teams!C5="Yes",IF('Purple'!F31="","",'Purple'!F31),"")</x:f>
        <x:v>Purple</x:v>
      </x:c>
      <x:c r="B142" s="8" t="str">
        <x:f>IF(Teams!C5="Yes",IF('Purple'!A31="","",'Purple'!A31),"")</x:f>
        <x:v>Medford</x:v>
      </x:c>
      <x:c r="C142" s="8" t="str">
        <x:f>IF(Teams!C5="Yes",IF('Purple'!B31="","",'Purple'!B31),"")</x:f>
        <x:v>Not opened</x:v>
      </x:c>
      <x:c r="D142" s="18" t="str">
        <x:f>IF(Teams!C5="Yes",IF('Purple'!C31="","",'Purple'!C31),"")</x:f>
      </x:c>
      <x:c r="E142" s="20" t="str">
        <x:f>IF(Teams!C5="Yes",IF('Purple'!G31="","",'Purple'!G31),"")</x:f>
        <x:v>medford</x:v>
      </x:c>
    </x:row>
    <x:row r="143" ht="24" customHeight="1">
      <x:c r="A143" s="8" t="str">
        <x:f>IF(Teams!C5="Yes",IF('Purple'!F32="","",'Purple'!F32),"")</x:f>
        <x:v>Purple</x:v>
      </x:c>
      <x:c r="B143" s="8" t="str">
        <x:f>IF(Teams!C5="Yes",IF('Purple'!A32="","",'Purple'!A32),"")</x:f>
        <x:v>Brookline</x:v>
      </x:c>
      <x:c r="C143" s="8" t="str">
        <x:f>IF(Teams!C5="Yes",IF('Purple'!B32="","",'Purple'!B32),"")</x:f>
        <x:v>Not opened</x:v>
      </x:c>
      <x:c r="D143" s="18" t="str">
        <x:f>IF(Teams!C5="Yes",IF('Purple'!C32="","",'Purple'!C32),"")</x:f>
      </x:c>
      <x:c r="E143" s="20" t="str">
        <x:f>IF(Teams!C5="Yes",IF('Purple'!G32="","",'Purple'!G32),"")</x:f>
        <x:v>brookline</x:v>
      </x:c>
    </x:row>
    <x:row r="144" ht="24" customHeight="1">
      <x:c r="A144" s="8" t="str">
        <x:f>IF(Teams!C5="Yes",IF('Purple'!F33="","",'Purple'!F33),"")</x:f>
        <x:v>Purple</x:v>
      </x:c>
      <x:c r="B144" s="8" t="str">
        <x:f>IF(Teams!C5="Yes",IF('Purple'!A33="","",'Purple'!A33),"")</x:f>
        <x:v>Newton</x:v>
      </x:c>
      <x:c r="C144" s="8" t="str">
        <x:f>IF(Teams!C5="Yes",IF('Purple'!B33="","",'Purple'!B33),"")</x:f>
        <x:v>Not opened</x:v>
      </x:c>
      <x:c r="D144" s="18" t="str">
        <x:f>IF(Teams!C5="Yes",IF('Purple'!C33="","",'Purple'!C33),"")</x:f>
      </x:c>
      <x:c r="E144" s="20" t="str">
        <x:f>IF(Teams!C5="Yes",IF('Purple'!G33="","",'Purple'!G33),"")</x:f>
        <x:v>newton</x:v>
      </x:c>
    </x:row>
    <x:row r="145" ht="24" customHeight="1">
      <x:c r="A145" s="8" t="str">
        <x:f>IF(Teams!C5="Yes",IF('Purple'!F34="","",'Purple'!F34),"")</x:f>
        <x:v>Purple</x:v>
      </x:c>
      <x:c r="B145" s="8" t="str">
        <x:f>IF(Teams!C5="Yes",IF('Purple'!A34="","",'Purple'!A34),"")</x:f>
        <x:v>Quincy</x:v>
      </x:c>
      <x:c r="C145" s="8" t="str">
        <x:f>IF(Teams!C5="Yes",IF('Purple'!B34="","",'Purple'!B34),"")</x:f>
        <x:v>Not opened</x:v>
      </x:c>
      <x:c r="D145" s="18" t="str">
        <x:f>IF(Teams!C5="Yes",IF('Purple'!C34="","",'Purple'!C34),"")</x:f>
      </x:c>
      <x:c r="E145" s="20" t="str">
        <x:f>IF(Teams!C5="Yes",IF('Purple'!G34="","",'Purple'!G34),"")</x:f>
        <x:v>quincy</x:v>
      </x:c>
    </x:row>
    <x:row r="146" ht="24" customHeight="1">
      <x:c r="A146" s="8" t="str">
        <x:f>IF(Teams!C5="Yes",IF('Purple'!F35="","",'Purple'!F35),"")</x:f>
        <x:v>Purple</x:v>
      </x:c>
      <x:c r="B146" s="8" t="str">
        <x:f>IF(Teams!C5="Yes",IF('Purple'!A35="","",'Purple'!A35),"")</x:f>
        <x:v>Braintree</x:v>
      </x:c>
      <x:c r="C146" s="8" t="str">
        <x:f>IF(Teams!C5="Yes",IF('Purple'!B35="","",'Purple'!B35),"")</x:f>
        <x:v>Not opened</x:v>
      </x:c>
      <x:c r="D146" s="18" t="str">
        <x:f>IF(Teams!C5="Yes",IF('Purple'!C35="","",'Purple'!C35),"")</x:f>
      </x:c>
      <x:c r="E146" s="20" t="str">
        <x:f>IF(Teams!C5="Yes",IF('Purple'!G35="","",'Purple'!G35),"")</x:f>
        <x:v>braintree</x:v>
      </x:c>
    </x:row>
    <x:row r="147" ht="24" customHeight="1">
      <x:c r="A147" s="8" t="str">
        <x:f>IF(Teams!C5="Yes",IF('Purple'!F36="","",'Purple'!F36),"")</x:f>
        <x:v>Purple</x:v>
      </x:c>
      <x:c r="B147" s="8" t="str">
        <x:f>IF(Teams!C5="Yes",IF('Purple'!A36="","",'Purple'!A36),"")</x:f>
        <x:v>Winthrop</x:v>
      </x:c>
      <x:c r="C147" s="8" t="str">
        <x:f>IF(Teams!C5="Yes",IF('Purple'!B36="","",'Purple'!B36),"")</x:f>
        <x:v>Not opened</x:v>
      </x:c>
      <x:c r="D147" s="18" t="str">
        <x:f>IF(Teams!C5="Yes",IF('Purple'!C36="","",'Purple'!C36),"")</x:f>
      </x:c>
      <x:c r="E147" s="20" t="str">
        <x:f>IF(Teams!C5="Yes",IF('Purple'!G36="","",'Purple'!G36),"")</x:f>
        <x:v>winthrop</x:v>
      </x:c>
    </x:row>
    <x:row r="148" ht="24" customHeight="1">
      <x:c r="A148" s="8" t="str">
        <x:f>IF(Teams!C5="Yes",IF('Purple'!F37="","",'Purple'!F37),"")</x:f>
        <x:v>Purple</x:v>
      </x:c>
      <x:c r="B148" s="8" t="str">
        <x:f>IF(Teams!C5="Yes",IF('Purple'!A37="","",'Purple'!A37),"")</x:f>
        <x:v>Milton</x:v>
      </x:c>
      <x:c r="C148" s="8" t="str">
        <x:f>IF(Teams!C5="Yes",IF('Purple'!B37="","",'Purple'!B37),"")</x:f>
        <x:v>Not opened</x:v>
      </x:c>
      <x:c r="D148" s="18" t="str">
        <x:f>IF(Teams!C5="Yes",IF('Purple'!C37="","",'Purple'!C37),"")</x:f>
      </x:c>
      <x:c r="E148" s="20" t="str">
        <x:f>IF(Teams!C5="Yes",IF('Purple'!G37="","",'Purple'!G37),"")</x:f>
        <x:v>milton</x:v>
      </x:c>
    </x:row>
    <x:row r="149" ht="24" customHeight="1">
      <x:c r="A149" s="8" t="str">
        <x:f>IF(Teams!C5="Yes",IF('Purple'!F38="","",'Purple'!F38),"")</x:f>
        <x:v>Purple</x:v>
      </x:c>
      <x:c r="B149" s="8" t="str">
        <x:f>IF(Teams!C5="Yes",IF('Purple'!A38="","",'Purple'!A38),"")</x:f>
        <x:v>Longwood</x:v>
      </x:c>
      <x:c r="C149" s="8" t="str">
        <x:f>IF(Teams!C5="Yes",IF('Purple'!B38="","",'Purple'!B38),"")</x:f>
        <x:v>Not opened</x:v>
      </x:c>
      <x:c r="D149" s="18" t="str">
        <x:f>IF(Teams!C5="Yes",IF('Purple'!C38="","",'Purple'!C38),"")</x:f>
      </x:c>
      <x:c r="E149" s="20" t="str">
        <x:f>IF(Teams!C5="Yes",IF('Purple'!G38="","",'Purple'!G38),"")</x:f>
        <x:v>longwood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87978B"/>
  </x:sheetPr>
  <x:sheetViews>
    <x:sheetView showGridLines="0" workbookViewId="0"/>
  </x:sheetViews>
  <x:sheetFormatPr defaultRowHeight="15"/>
  <x:cols>
    <x:col min="1" max="1" width="29.3799991607666" hidden="0" customWidth="1"/>
    <x:col min="2" max="2" width="92.5" hidden="0" customWidth="1"/>
  </x:cols>
  <x:sheetData>
    <x:row r="1" ht="24" customHeight="1">
      <x:c r="A1" s="8"/>
      <x:c r="B1" s="8"/>
    </x:row>
    <x:row r="2" ht="24" customHeight="1">
      <x:c r="A2" s="9" t="str">
        <x:v>SETUP / GOOGLE SHEETS</x:v>
      </x:c>
      <x:c r="B2" s="8"/>
    </x:row>
    <x:row r="3" ht="24" customHeight="1">
      <x:c r="A3" s="8"/>
      <x:c r="B3" s="8"/>
    </x:row>
    <x:row r="4" ht="24" customHeight="1">
      <x:c r="A4" s="8"/>
      <x:c r="B4" s="8"/>
    </x:row>
    <x:row r="5" ht="40" customHeight="1">
      <x:c r="A5" s="13" t="str">
        <x:v>Upload</x:v>
      </x:c>
      <x:c r="B5" s="20" t="str">
        <x:v>In Google Sheets, create a blank sheet, then File → Import → Upload this .xlsx. Choose Replace spreadsheet.</x:v>
      </x:c>
    </x:row>
    <x:row r="6" ht="40" customHeight="1">
      <x:c r="A6" s="13" t="str">
        <x:v>Players</x:v>
      </x:c>
      <x:c r="B6" s="20" t="str">
        <x:v>Share the sheet with friends as Editors. Public website readers do not need editing access.</x:v>
      </x:c>
    </x:row>
    <x:row r="7" ht="40" customHeight="1">
      <x:c r="A7" s="13" t="str">
        <x:v>Website data</x:v>
      </x:c>
      <x:c r="B7" s="20" t="str">
        <x:v>Publish only the Ownership, History and Teams tabs to the web, each as CSV.</x:v>
      </x:c>
    </x:row>
    <x:row r="8" ht="40" customHeight="1">
      <x:c r="A8" s="13" t="str">
        <x:v>Publish</x:v>
      </x:c>
      <x:c r="B8" s="20" t="str">
        <x:v>File → Share → Publish to web. Choose a tab and Comma-separated values (.csv). Repeat for History and Teams.</x:v>
      </x:c>
    </x:row>
    <x:row r="9" ht="40" customHeight="1">
      <x:c r="A9" s="13" t="str">
        <x:v>Connect</x:v>
      </x:c>
      <x:c r="B9" s="20" t="str">
        <x:v>Send the new Google Sheet link. The website reads Ownership, History and Teams; keep these tab names.</x:v>
      </x:c>
    </x:row>
    <x:row r="10" ht="40" customHeight="1">
      <x:c r="A10" s="13" t="str">
        <x:v>Dropdowns</x:v>
      </x:c>
      <x:c r="B10" s="20" t="str">
        <x:v>Ownership: Claimed By and Locked By. Team tabs: status. Delete a team cell to clear it.</x:v>
      </x:c>
    </x:row>
    <x:row r="11" ht="40" customHeight="1">
      <x:c r="A11" s="13" t="str">
        <x:v>Import check</x:v>
      </x:c>
      <x:c r="B11" s="20" t="str">
        <x:v>After upload, check that dropdowns and formulas survived the Google Sheets conversion.</x:v>
      </x:c>
    </x:row>
    <x:row r="12" ht="40" customHeight="1">
      <x:c r="A12" s="13" t="str">
        <x:v>Ownership</x:v>
      </x:c>
      <x:c r="B12" s="20" t="str">
        <x:v>Locked By overrides Claimed By. Do not change a locked owner after the territory is secured.</x:v>
      </x:c>
    </x:row>
    <x:row r="13" ht="40" customHeight="1">
      <x:c r="A13" s="13" t="str">
        <x:v>Challenge order</x:v>
      </x:c>
      <x:c r="B13" s="20" t="str">
        <x:v>Use the next reveal number on your team tab. Keep the original number for all retries.</x:v>
      </x:c>
    </x:row>
    <x:row r="14" ht="40" customHeight="1">
      <x:c r="A14" s="13" t="str">
        <x:v>One active card</x:v>
      </x:c>
      <x:c r="B14" s="20" t="str">
        <x:v>Use Active for one challenge only. Finish it or mark Failed / Abandoned before the next reveal.</x:v>
      </x:c>
    </x:row>
    <x:row r="15" ht="40" customHeight="1">
      <x:c r="A15" s="13" t="str">
        <x:v>Retries</x:v>
      </x:c>
      <x:c r="B15" s="20" t="str">
        <x:v>A failed card may be retried only if the card permits it and no later card has been opened.</x:v>
      </x:c>
    </x:row>
    <x:row r="16" ht="40" customHeight="1">
      <x:c r="A16" s="13" t="str">
        <x:v>Warnings</x:v>
      </x:c>
      <x:c r="B16" s="20" t="str">
        <x:v>Warnings remind players; this honor-system template does not prevent every invalid edit.</x:v>
      </x:c>
    </x:row>
    <x:row r="17" ht="40" customHeight="1">
      <x:c r="A17" s="13" t="str">
        <x:v>Formula cells</x:v>
      </x:c>
      <x:c r="B17" s="20" t="str">
        <x:v>Green cells are calculated. Do not edit Current Owner, State, Entry Warning, Retry Guidance, or History.</x:v>
      </x:c>
    </x:row>
    <x:row r="18" ht="40" customHeight="1">
      <x:c r="A18" s="13" t="str">
        <x:v>Hidden columns</x:v>
      </x:c>
      <x:c r="B18" s="20" t="str">
        <x:v>Territory IDs and team helpers are hidden on the right. Keep them intact; they connect the website.</x:v>
      </x:c>
    </x:row>
    <x:row r="19" ht="40" customHeight="1">
      <x:c r="A19" s="13" t="str">
        <x:v>Demo reset</x:v>
      </x:c>
      <x:c r="B19" s="20" t="str">
        <x:v>Clear Ownership B2:C38, then choose your team count on Setup. The sample claims and locks are fictional.</x:v>
      </x:c>
    </x:row>
    <x:row r="20" ht="40" customHeight="1">
      <x:c r="A20" s="13" t="str">
        <x:v>Headings</x:v>
      </x:c>
      <x:c r="B20" s="20" t="str">
        <x:v>Capitalization, spaces, hyphens and underscores are supported. Keep the same words in the headings.</x:v>
      </x:c>
    </x:row>
    <x:row r="21" ht="40" customHeight="1">
      <x:c r="A21" s="13" t="str">
        <x:v>Sorting</x:v>
      </x:c>
      <x:c r="B21" s="20" t="str">
        <x:v>Keep History automatic. If sorting a team tab, sort the full A:G table, not a single column.</x:v>
      </x:c>
    </x:row>
    <x:row r="22" ht="40" customHeight="1">
      <x:c r="A22" s="13" t="str">
        <x:v>Team count</x:v>
      </x:c>
      <x:c r="B22" s="20" t="str">
        <x:v>Setup → B3 selects 2–4 teams. Teams, dropdowns, overview and History update automatically.</x:v>
      </x:c>
    </x:row>
    <x:row r="23" ht="40" customHeight="1">
      <x:c r="A23" s="13" t="str">
        <x:v>Challenges</x:v>
      </x:c>
      <x:c r="B23" s="20" t="str">
        <x:v>Keep challenge text on the website, rather than in this public workbook.</x:v>
      </x:c>
    </x:row>
    <x:row r="24" ht="40" customHeight="1">
      <x:c r="A24" s="13" t="str">
        <x:v>Refresh</x:v>
      </x:c>
      <x:c r="B24" s="20" t="str">
        <x:v>Published Google feeds may cache edits. The website polls periodically, not instantly.</x:v>
      </x:c>
    </x:row>
    <x:row r="25" ht="40" customHeight="1">
      <x:c r="A25" s="13" t="str">
        <x:v>Game board</x:v>
      </x:c>
      <x:c r="B25" s="20" t="str">
        <x:v>37 areas: 24 Boston neighborhoods and 13 surrounding municipalities.</x:v>
      </x:c>
    </x:row>
    <x:row r="26" ht="40" customHeight="1">
      <x:c r="A26" s="13" t="str">
        <x:v>Source</x:v>
      </x:c>
      <x:c r="B26" s="20" t="str">
        <x:v>Territory names and game rules provided by Ansel in this chat. Boundaries remain draft.</x:v>
      </x:c>
    </x:row>
    <x:row r="27" ht="40" customHeight="1">
      <x:c r="A27" s="13" t="str">
        <x:v>Repository</x:v>
      </x:c>
      <x:c r="B27" s="20" t="str">
        <x:v>https://github.com/anselgl/jetlagboston</x:v>
      </x:c>
    </x:row>
    <x:row r="28" ht="24" customHeight="1">
      <x:c r="A28" s="8"/>
      <x:c r="B28" s="8"/>
    </x:row>
    <x:row r="29" ht="24" customHeight="1">
      <x:c r="A29" s="8"/>
      <x:c r="B29" s="8"/>
    </x:row>
  </x:sheetData>
  <x:pageMargins left="0.7" right="0.7" top="0.75" bottom="0.75" header="0.3" footer="0.3"/>
</x:worksheet>
</file>